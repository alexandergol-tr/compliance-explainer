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ySEC v24" sheetId="2" state="visible" r:id="rId2"/>
    <sheet name="FCA v15" sheetId="3" state="visible" r:id="rId3"/>
    <sheet name="ASIC v9" sheetId="4" state="visible" r:id="rId4"/>
    <sheet name="ASIC GAML v15" sheetId="5" state="visible" r:id="rId5"/>
    <sheet name="FSRA v10" sheetId="6" state="visible" r:id="rId6"/>
    <sheet name="MAS v12" sheetId="7" state="visible" r:id="rId7"/>
    <sheet name="Rules" sheetId="8" state="visible" r:id="rId8"/>
    <sheet name="Lists" sheetId="9" state="hidden"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color rgb="006B7280"/>
      <sz val="9"/>
    </font>
    <font>
      <b val="1"/>
      <color rgb="001F2A37"/>
      <sz val="10"/>
    </font>
    <font>
      <color rgb="001F2A37"/>
      <sz val="10"/>
    </font>
    <font>
      <b val="1"/>
      <color rgb="001F2A37"/>
      <sz val="16"/>
    </font>
    <font>
      <b val="1"/>
      <color rgb="007A2E2E"/>
      <sz val="12"/>
    </font>
    <font>
      <b val="1"/>
      <color rgb="00FFFFFF"/>
      <sz val="10"/>
    </font>
    <font>
      <name val="Menlo"/>
      <color rgb="001F2A37"/>
      <sz val="9"/>
    </font>
    <font>
      <b val="1"/>
      <color rgb="00B42318"/>
      <sz val="9"/>
    </font>
    <font>
      <b val="1"/>
      <color rgb="007A2E2E"/>
      <sz val="13"/>
    </font>
    <font>
      <b val="1"/>
      <color rgb="001F2A37"/>
      <sz val="20"/>
    </font>
  </fonts>
  <fills count="7">
    <fill>
      <patternFill/>
    </fill>
    <fill>
      <patternFill patternType="gray125"/>
    </fill>
    <fill>
      <patternFill patternType="solid">
        <fgColor rgb="007A2E2E"/>
      </patternFill>
    </fill>
    <fill>
      <patternFill patternType="solid">
        <fgColor rgb="00FFF6D6"/>
      </patternFill>
    </fill>
    <fill>
      <patternFill patternType="solid">
        <fgColor rgb="00F2F4F7"/>
      </patternFill>
    </fill>
    <fill>
      <patternFill patternType="solid">
        <fgColor rgb="00FDE7E4"/>
      </patternFill>
    </fill>
    <fill>
      <patternFill patternType="solid">
        <fgColor rgb="00EEF0F2"/>
      </patternFill>
    </fill>
  </fills>
  <borders count="2">
    <border>
      <left/>
      <right/>
      <top/>
      <bottom/>
      <diagonal/>
    </border>
    <border>
      <left style="thin">
        <color rgb="00D5DBE0"/>
      </left>
      <right style="thin">
        <color rgb="00D5DBE0"/>
      </right>
      <top style="thin">
        <color rgb="00D5DBE0"/>
      </top>
      <bottom style="thin">
        <color rgb="00D5DBE0"/>
      </bottom>
    </border>
  </borders>
  <cellStyleXfs count="1">
    <xf numFmtId="0" fontId="0" fillId="0" borderId="0"/>
  </cellStyleXfs>
  <cellXfs count="29">
    <xf numFmtId="0" fontId="0" fillId="0" borderId="0" pivotButton="0" quotePrefix="0" xfId="0"/>
    <xf numFmtId="0" fontId="10" fillId="0" borderId="0" pivotButton="0" quotePrefix="0" xfId="0"/>
    <xf numFmtId="0" fontId="2" fillId="0" borderId="0" pivotButton="0" quotePrefix="0" xfId="0"/>
    <xf numFmtId="0" fontId="3" fillId="0" borderId="0" applyAlignment="1" pivotButton="0" quotePrefix="0" xfId="0">
      <alignment vertical="top" wrapText="1"/>
    </xf>
    <xf numFmtId="0" fontId="8" fillId="0" borderId="0" pivotButton="0" quotePrefix="0" xfId="0"/>
    <xf numFmtId="0" fontId="5" fillId="0" borderId="0" pivotButton="0" quotePrefix="0" xfId="0"/>
    <xf numFmtId="0" fontId="7" fillId="0" borderId="0" pivotButton="0" quotePrefix="0" xfId="0"/>
    <xf numFmtId="0" fontId="4" fillId="0" borderId="0" pivotButton="0" quotePrefix="0" xfId="0"/>
    <xf numFmtId="0" fontId="1" fillId="0" borderId="0" pivotButton="0" quotePrefix="0" xfId="0"/>
    <xf numFmtId="0" fontId="6" fillId="2" borderId="1" applyAlignment="1" pivotButton="0" quotePrefix="0" xfId="0">
      <alignment vertical="center" wrapText="1"/>
    </xf>
    <xf numFmtId="0" fontId="0" fillId="0" borderId="1" pivotButton="0" quotePrefix="0" xfId="0"/>
    <xf numFmtId="0" fontId="3" fillId="0" borderId="1" applyAlignment="1" pivotButton="0" quotePrefix="0" xfId="0">
      <alignment vertical="top" wrapText="1"/>
    </xf>
    <xf numFmtId="0" fontId="2" fillId="3" borderId="1" pivotButton="0" quotePrefix="0" xfId="0"/>
    <xf numFmtId="0" fontId="1" fillId="0" borderId="1" pivotButton="0" quotePrefix="0" xfId="0"/>
    <xf numFmtId="0" fontId="1" fillId="0" borderId="0" applyAlignment="1" pivotButton="0" quotePrefix="0" xfId="0">
      <alignment vertical="top" wrapText="1"/>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7" fillId="0" borderId="1" pivotButton="0" quotePrefix="0" xfId="0"/>
    <xf numFmtId="0" fontId="8" fillId="3" borderId="1" pivotButton="0" quotePrefix="0" xfId="0"/>
    <xf numFmtId="0" fontId="2" fillId="0" borderId="1" pivotButton="0" quotePrefix="0" xfId="0"/>
    <xf numFmtId="0" fontId="2" fillId="4" borderId="1" applyAlignment="1" pivotButton="0" quotePrefix="0" xfId="0">
      <alignment horizontal="center" vertical="center"/>
    </xf>
    <xf numFmtId="0" fontId="3" fillId="0" borderId="1" pivotButton="0" quotePrefix="0" xfId="0"/>
    <xf numFmtId="0" fontId="2" fillId="3" borderId="1" applyAlignment="1" pivotButton="0" quotePrefix="0" xfId="0">
      <alignment horizontal="center" vertical="center"/>
    </xf>
    <xf numFmtId="0" fontId="7" fillId="0" borderId="1" applyAlignment="1" pivotButton="0" quotePrefix="0" xfId="0">
      <alignment vertical="top" wrapText="1"/>
    </xf>
    <xf numFmtId="0" fontId="9" fillId="5" borderId="1" applyAlignment="1" pivotButton="0" quotePrefix="0" xfId="0">
      <alignment horizontal="center" vertical="center"/>
    </xf>
    <xf numFmtId="0" fontId="8" fillId="0" borderId="0" applyAlignment="1" pivotButton="0" quotePrefix="0" xfId="0">
      <alignment vertical="top" wrapText="1"/>
    </xf>
    <xf numFmtId="0" fontId="2" fillId="6" borderId="1" applyAlignment="1" pivotButton="0" quotePrefix="0" xfId="0">
      <alignment horizontal="center" vertical="center"/>
    </xf>
    <xf numFmtId="0" fontId="2" fillId="4"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showGridLines="0" workbookViewId="0">
      <selection activeCell="A1" sqref="A1"/>
    </sheetView>
  </sheetViews>
  <sheetFormatPr baseColWidth="8" defaultRowHeight="15"/>
  <cols>
    <col width="3" customWidth="1" min="1" max="1"/>
    <col width="28" customWidth="1" min="2" max="2"/>
    <col width="100" customWidth="1" min="3" max="3"/>
  </cols>
  <sheetData>
    <row r="1">
      <c r="A1" s="1" t="inlineStr">
        <is>
          <t>eToro Negative Market calculator</t>
        </is>
      </c>
    </row>
    <row r="3" ht="65" customHeight="1">
      <c r="B3" s="2" t="inlineStr">
        <is>
          <t>What this is</t>
        </is>
      </c>
      <c r="C3" s="3" t="inlineStr">
        <is>
          <t>A working model of the live Negative Market (NM) product knockouts at eToro - the tests that hard-block CFD / Futures / Margin / Crypto / ERS trading. Rules are transcribed verbatim from the production ClientRiskProfileConfiguration documents in config-prod/. This is one of three separate tests; the copy-suitability score is eToro-suitability-test-calculator.xlsx, and appropriateness status is a third test not modelled here.</t>
        </is>
      </c>
    </row>
    <row r="5" ht="39" customHeight="1">
      <c r="B5" s="4" t="inlineStr">
        <is>
          <t>Three separate tests</t>
        </is>
      </c>
      <c r="C5" s="3" t="inlineStr">
        <is>
          <t>Negative Market blocks products. Suitability caps a copy risk score. Appropriateness warns. They share KYC answers and the knowledge quiz but nothing else - a user can pass one and fail another. Do not read an NM block as a copy block or vice versa.</t>
        </is>
      </c>
    </row>
    <row r="7">
      <c r="B7" s="5" t="inlineStr">
        <is>
          <t>Tabs</t>
        </is>
      </c>
    </row>
    <row r="8" ht="39" customHeight="1">
      <c r="B8" s="2" t="inlineStr">
        <is>
          <t>One tab per regulation</t>
        </is>
      </c>
      <c r="C8" s="3" t="inlineStr">
        <is>
          <t>CySEC v24, FCA v15, ASIC v9, ASIC GAML v15, FSRA v10, MAS v12. Answer the yellow cells; each product's status is computed below and summarised at the foot of the tab. Only the products and questions that regulation's document actually carries are shown.</t>
        </is>
      </c>
    </row>
    <row r="9" ht="26" customHeight="1">
      <c r="B9" s="2" t="inlineStr">
        <is>
          <t>Rules</t>
        </is>
      </c>
      <c r="C9" s="3" t="inlineStr">
        <is>
          <t>The long enum lists (CFD questionnaires, ASIC GAML Typeform set, MAS CKA qualifications, UK overlay [FCA only]) behind the summarised checks.</t>
        </is>
      </c>
    </row>
    <row r="11">
      <c r="B11" s="5" t="inlineStr">
        <is>
          <t>How NM differs from the copy test</t>
        </is>
      </c>
    </row>
    <row r="12">
      <c r="C12" s="6" t="inlineStr">
        <is>
          <t>Per product, not one score. Each product key is its own formula returning Blocked / NotBlocked.</t>
        </is>
      </c>
    </row>
    <row r="13">
      <c r="C13" s="6" t="inlineStr">
        <is>
          <t>OR of rules, not MIN of factors. Any one active rule blocking blocks the product.</t>
        </is>
      </c>
    </row>
    <row r="14">
      <c r="C14" s="6" t="inlineStr">
        <is>
          <t>Knowledge quiz cutoff is pass/fail at -3, not four risk bands.</t>
        </is>
      </c>
    </row>
    <row r="15">
      <c r="C15" s="6" t="inlineStr">
        <is>
          <t>Check.DefaultResult is LIVE here (NM calls CalculateWithBlockResult). It is dead on the copy path.</t>
        </is>
      </c>
    </row>
    <row r="16">
      <c r="C16" s="6" t="inlineStr">
        <is>
          <t>Auto-release: the experience rule clears after N days from FTD + M closed trades.</t>
        </is>
      </c>
    </row>
    <row r="17">
      <c r="C17" s="6" t="inlineStr">
        <is>
          <t>Missing product key means NOT gated by NM - it does not mean 'not blocked'.</t>
        </is>
      </c>
    </row>
    <row r="19">
      <c r="B19" s="5" t="inlineStr">
        <is>
          <t>CFD knockout is not shared</t>
        </is>
      </c>
    </row>
    <row r="20">
      <c r="C20" s="6" t="inlineStr">
        <is>
          <t>CySEC / FSRA : appetite 5%/-3% OR income Up-to-10K.</t>
        </is>
      </c>
    </row>
    <row r="21">
      <c r="C21" s="6" t="inlineStr">
        <is>
          <t>FCA          : those two, plus two pensioner / low-means All-checks.</t>
        </is>
      </c>
    </row>
    <row r="22">
      <c r="C22" s="6" t="inlineStr">
        <is>
          <t>ASIC         : appetite OR purpose Saving-for-home OR income &lt;=50K OR assets Up-to-10K (ASIC-9.json).</t>
        </is>
      </c>
    </row>
    <row r="23">
      <c r="C23" s="6" t="inlineStr">
        <is>
          <t>ASIC GAML    : appetite two lowest bands OR income &lt;=50K OR assets 0-10K OR source Pension (spreadsheet + ASICGAML-15.json), PLUS the Typeform CFD/Futures knockout questionnaire (one question per row). Futures adds a two-stage NM (Stage 1 leveraged NMF + Stage 2 Typeform).</t>
        </is>
      </c>
    </row>
    <row r="24">
      <c r="C24" s="6" t="inlineStr">
        <is>
          <t>MAS v12      : CFD (CKA) = never transacted CFD AND no CKA knowledge; unblocked by CFD trades or a listed qualification. ETF (CAR) is the same formula on HaveYouTransactedEtf + the three CAR criteria. No appetite knockout. No suitability test at all.</t>
        </is>
      </c>
    </row>
    <row r="26">
      <c r="B26" s="5" t="inlineStr">
        <is>
          <t>Read before relying on this</t>
        </is>
      </c>
    </row>
    <row r="27" ht="39" customHeight="1">
      <c r="B27" s="4" t="inlineStr">
        <is>
          <t>Rule combination unverified</t>
        </is>
      </c>
      <c r="C27" s="3" t="inlineStr">
        <is>
          <t>How the engine combines several Rules on one product has not been re-traced in C#. The model here is 'blocked if any still-active rule is Blocked'. Confirm against CalculateWithBlockResult before quoting a computed verdict externally.</t>
        </is>
      </c>
    </row>
    <row r="28" ht="26" customHeight="1">
      <c r="B28" s="4" t="inlineStr">
        <is>
          <t>Nested experience is the weak point</t>
        </is>
      </c>
      <c r="C28" s="3" t="inlineStr">
        <is>
          <t>The CySEC/FCA TradingExperience nest with IsAlternative is modelled as 'inexperienced AND passes no knowledge gate'. The evaluation order is reconstructed, not read from code.</t>
        </is>
      </c>
    </row>
    <row r="29" ht="26" customHeight="1">
      <c r="B29" s="4" t="inlineStr">
        <is>
          <t>Auto-release needs trading data</t>
        </is>
      </c>
      <c r="C29" s="3" t="inlineStr">
        <is>
          <t>Days-from-FTD and closed-trade count are not in the profile store. They are inputs here so their effect is visible; a config-only replay cannot derive them.</t>
        </is>
      </c>
    </row>
    <row r="30" ht="26" customHeight="1">
      <c r="B30" s="4" t="inlineStr">
        <is>
          <t>FCA income-source check may be dead</t>
        </is>
      </c>
      <c r="C30" s="3" t="inlineStr">
        <is>
          <t>FCA CFD KnockOut check 2 lists IncomeSource with Condition=All over {Pension,Salary}. If that question is single-select, the check can never fire.</t>
        </is>
      </c>
    </row>
    <row r="31" ht="26" customHeight="1">
      <c r="B31" s="4" t="inlineStr">
        <is>
          <t>Config coverage</t>
        </is>
      </c>
      <c r="C31" s="3" t="inlineStr">
        <is>
          <t>config-prod/ holds 8 of ~104 live documents. FSA (Seychelles), US and older versions are not here. A user on a version not present gets no tab.</t>
        </is>
      </c>
    </row>
    <row r="32" ht="16" customHeight="1">
      <c r="B32" s="4" t="inlineStr">
        <is>
          <t>Snapshot</t>
        </is>
      </c>
      <c r="C32" s="3" t="inlineStr">
        <is>
          <t>Read from production Cosmos 2026-08-09 (MAS 08-10). No client data was queried.</t>
        </is>
      </c>
    </row>
    <row r="34" ht="26" customHeight="1">
      <c r="B34" s="2" t="inlineStr">
        <is>
          <t>Source</t>
        </is>
      </c>
      <c r="C34" s="3" t="inlineStr">
        <is>
          <t>rev-eng/suitability-test/ in etoro-assets. Formulas in nm-formulas.md. Regenerate this file with build_nm_workbook.py and check it with verify_nm_workbook.py.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7"/>
  <sheetViews>
    <sheetView showGridLines="0" workbookViewId="0">
      <pane ySplit="3" topLeftCell="A4" activePane="bottomLeft" state="frozen"/>
      <selection pane="bottomLeft" activeCell="A1" sqref="A1"/>
    </sheetView>
  </sheetViews>
  <sheetFormatPr baseColWidth="8" defaultRowHeight="15"/>
  <cols>
    <col width="3" customWidth="1" min="1" max="1"/>
    <col width="44" customWidth="1" min="2" max="2"/>
    <col width="30" customWidth="1" min="3" max="3"/>
    <col width="22" customWidth="1" min="4" max="4"/>
    <col width="12" customWidth="1" min="5" max="5"/>
    <col width="30" customWidth="1" min="6" max="6"/>
  </cols>
  <sheetData>
    <row r="1">
      <c r="A1" s="7" t="inlineStr">
        <is>
          <t>Negative Market - CySEC</t>
        </is>
      </c>
    </row>
    <row r="2">
      <c r="A2" s="8" t="inlineStr">
        <is>
          <t>Models CySEC-24, the live configuration for CySEC. Answer the yellow cells; every product knockout below is computed from them. This is Negative Market only - not the copy suitability score, not appropriateness.</t>
        </is>
      </c>
    </row>
    <row r="4">
      <c r="A4" s="5" t="inlineStr">
        <is>
          <t>STEP 1</t>
        </is>
      </c>
      <c r="B4" s="5" t="inlineStr">
        <is>
          <t>KYC answers</t>
        </is>
      </c>
    </row>
    <row r="5" ht="20" customHeight="1">
      <c r="A5" s="9" t="inlineStr"/>
      <c r="B5" s="9" t="inlineStr">
        <is>
          <t>Question</t>
        </is>
      </c>
      <c r="C5" s="9" t="inlineStr">
        <is>
          <t>Your answer</t>
        </is>
      </c>
      <c r="D5" s="9" t="inlineStr"/>
      <c r="E5" s="9" t="inlineStr"/>
      <c r="F5" s="9" t="inlineStr">
        <is>
          <t>Config question</t>
        </is>
      </c>
    </row>
    <row r="6">
      <c r="A6" s="10" t="n"/>
      <c r="B6" s="11" t="inlineStr">
        <is>
          <t>Q9 gain / loss appetite</t>
        </is>
      </c>
      <c r="C6" s="12" t="inlineStr">
        <is>
          <t>20% / -12%</t>
        </is>
      </c>
      <c r="D6" s="10" t="n"/>
      <c r="E6" s="10" t="n"/>
      <c r="F6" s="13" t="inlineStr">
        <is>
          <t>RiskAppetite</t>
        </is>
      </c>
    </row>
    <row r="7">
      <c r="A7" s="10" t="n"/>
      <c r="B7" s="11" t="inlineStr">
        <is>
          <t>Q10 net annual income</t>
        </is>
      </c>
      <c r="C7" s="12" t="inlineStr">
        <is>
          <t>50K - 200K</t>
        </is>
      </c>
      <c r="D7" s="10" t="n"/>
      <c r="E7" s="10" t="n"/>
      <c r="F7" s="13" t="inlineStr">
        <is>
          <t>AnnualIncome</t>
        </is>
      </c>
    </row>
    <row r="8">
      <c r="A8" s="10" t="n"/>
      <c r="B8" s="11" t="inlineStr">
        <is>
          <t>Have you traded crypto?</t>
        </is>
      </c>
      <c r="C8" s="12" t="inlineStr">
        <is>
          <t>Traded before</t>
        </is>
      </c>
      <c r="D8" s="10" t="n"/>
      <c r="E8" s="10" t="n"/>
      <c r="F8" s="13" t="inlineStr">
        <is>
          <t>Crypto</t>
        </is>
      </c>
    </row>
    <row r="9">
      <c r="A9" s="10" t="n"/>
      <c r="B9" s="11" t="inlineStr">
        <is>
          <t>Have you traded leveraged CFDs?</t>
        </is>
      </c>
      <c r="C9" s="12" t="inlineStr">
        <is>
          <t>Traded before</t>
        </is>
      </c>
      <c r="D9" s="10" t="n"/>
      <c r="E9" s="10" t="n"/>
      <c r="F9" s="13" t="inlineStr">
        <is>
          <t>LeveragedCfd</t>
        </is>
      </c>
    </row>
    <row r="10">
      <c r="A10" s="10" t="n"/>
      <c r="B10" s="11" t="inlineStr">
        <is>
          <t>Q3 financial knowledge</t>
        </is>
      </c>
      <c r="C10" s="12" t="inlineStr">
        <is>
          <t>Trading courses</t>
        </is>
      </c>
      <c r="D10" s="10" t="n"/>
      <c r="E10" s="10" t="n"/>
      <c r="F10" s="13" t="inlineStr">
        <is>
          <t>TradingKnowledge</t>
        </is>
      </c>
    </row>
    <row r="12">
      <c r="A12" s="5" t="inlineStr">
        <is>
          <t>STEP 2</t>
        </is>
      </c>
      <c r="B12" s="5" t="inlineStr">
        <is>
          <t>Q23 knowledge assessment (feeds the experience rule)</t>
        </is>
      </c>
    </row>
    <row r="13">
      <c r="B13" s="14" t="inlineStr">
        <is>
          <t>Same six-statement group as the copy test. Tick Yes for each statement you would select. Ticking a true statement or leaving a false one alone earns +2; the opposite costs -2. On Negative Market the cutoff is a pass/fail: score of -3 or higher does NOT block. (The copy test reads the same score through four risk bands instead.)</t>
        </is>
      </c>
    </row>
    <row r="14"/>
    <row r="15"/>
    <row r="16" ht="20" customHeight="1">
      <c r="A16" s="9" t="inlineStr">
        <is>
          <t>ID</t>
        </is>
      </c>
      <c r="B16" s="9" t="inlineStr">
        <is>
          <t>Statement</t>
        </is>
      </c>
      <c r="C16" s="9" t="inlineStr">
        <is>
          <t>Selected?</t>
        </is>
      </c>
      <c r="D16" s="9" t="inlineStr">
        <is>
          <t>Weight</t>
        </is>
      </c>
      <c r="E16" s="9" t="inlineStr">
        <is>
          <t>Contribution</t>
        </is>
      </c>
      <c r="F16" s="9" t="inlineStr">
        <is>
          <t>Config name</t>
        </is>
      </c>
    </row>
    <row r="17" ht="24" customHeight="1">
      <c r="A17" s="13" t="n">
        <v>142</v>
      </c>
      <c r="B17" s="11" t="inlineStr">
        <is>
          <t>$1,000 at 20x leverage: a 5% adverse move wipes out my investment</t>
        </is>
      </c>
      <c r="C17" s="12" t="inlineStr">
        <is>
          <t>Yes</t>
        </is>
      </c>
      <c r="D17" s="15" t="inlineStr">
        <is>
          <t>+2</t>
        </is>
      </c>
      <c r="E17" s="16">
        <f>IF(C17="Yes",2,-2)</f>
        <v/>
      </c>
      <c r="F17" s="17" t="inlineStr">
        <is>
          <t>NewerLeverage</t>
        </is>
      </c>
    </row>
    <row r="18" ht="24" customHeight="1">
      <c r="A18" s="13" t="n">
        <v>144</v>
      </c>
      <c r="B18" s="11" t="inlineStr">
        <is>
          <t>If account equity falls below required margin, a margin call liquidates positions</t>
        </is>
      </c>
      <c r="C18" s="12" t="inlineStr">
        <is>
          <t>No</t>
        </is>
      </c>
      <c r="D18" s="15" t="inlineStr">
        <is>
          <t>+2</t>
        </is>
      </c>
      <c r="E18" s="16">
        <f>IF(C18="Yes",2,-2)</f>
        <v/>
      </c>
      <c r="F18" s="17" t="inlineStr">
        <is>
          <t>NewerMarginCall</t>
        </is>
      </c>
    </row>
    <row r="19" ht="24" customHeight="1">
      <c r="A19" s="13" t="n">
        <v>143</v>
      </c>
      <c r="B19" s="11" t="inlineStr">
        <is>
          <t>If Google rises on NASDAQ, my Google CFD goes down</t>
        </is>
      </c>
      <c r="C19" s="12" t="inlineStr">
        <is>
          <t>Yes</t>
        </is>
      </c>
      <c r="D19" s="15" t="inlineStr">
        <is>
          <t>-2</t>
        </is>
      </c>
      <c r="E19" s="16">
        <f>IF(C19="Yes",-2,2)</f>
        <v/>
      </c>
      <c r="F19" s="17" t="inlineStr">
        <is>
          <t>NewerCfd</t>
        </is>
      </c>
    </row>
    <row r="20" ht="24" customHeight="1">
      <c r="A20" s="13" t="n">
        <v>145</v>
      </c>
      <c r="B20" s="11" t="inlineStr">
        <is>
          <t>My positions stay open even when a stop loss is triggered</t>
        </is>
      </c>
      <c r="C20" s="12" t="inlineStr">
        <is>
          <t>No</t>
        </is>
      </c>
      <c r="D20" s="15" t="inlineStr">
        <is>
          <t>-2</t>
        </is>
      </c>
      <c r="E20" s="16">
        <f>IF(C20="Yes",-2,2)</f>
        <v/>
      </c>
      <c r="F20" s="17" t="inlineStr">
        <is>
          <t>NewerStopLossTrigger</t>
        </is>
      </c>
    </row>
    <row r="21" ht="24" customHeight="1">
      <c r="A21" s="13" t="n">
        <v>146</v>
      </c>
      <c r="B21" s="11" t="inlineStr">
        <is>
          <t>If the market gaps through my stop loss, it closes at the exact stop level</t>
        </is>
      </c>
      <c r="C21" s="12" t="inlineStr">
        <is>
          <t>No</t>
        </is>
      </c>
      <c r="D21" s="15" t="inlineStr">
        <is>
          <t>-2</t>
        </is>
      </c>
      <c r="E21" s="16">
        <f>IF(C21="Yes",-2,2)</f>
        <v/>
      </c>
      <c r="F21" s="17" t="inlineStr">
        <is>
          <t>NewerStopLossGapThrough</t>
        </is>
      </c>
    </row>
    <row r="22" ht="24" customHeight="1">
      <c r="A22" s="13" t="n">
        <v>212</v>
      </c>
      <c r="B22" s="11" t="inlineStr">
        <is>
          <t>I can sell my OTC complex products (CFD, TRS) outside eToro  [RETIRED - no longer asked]</t>
        </is>
      </c>
      <c r="C22" s="18" t="inlineStr">
        <is>
          <t>No</t>
        </is>
      </c>
      <c r="D22" s="15" t="inlineStr">
        <is>
          <t>-2</t>
        </is>
      </c>
      <c r="E22" s="16">
        <f>IF(C22="Yes",-2,2)</f>
        <v/>
      </c>
      <c r="F22" s="17" t="inlineStr">
        <is>
          <t>NewerCfdTrs</t>
        </is>
      </c>
    </row>
    <row r="23">
      <c r="A23" s="10" t="n"/>
      <c r="B23" s="19" t="inlineStr">
        <is>
          <t>Assessment total score</t>
        </is>
      </c>
      <c r="C23" s="10" t="n"/>
      <c r="D23" s="10" t="n"/>
      <c r="E23" s="20">
        <f>SUM(E17:E22)</f>
        <v/>
      </c>
      <c r="F23" s="13">
        <f>IF(E23&gt;=-3,"pass (&gt;= -3)","FAIL (&lt; -3)")</f>
        <v/>
      </c>
    </row>
    <row r="25">
      <c r="A25" s="5" t="inlineStr">
        <is>
          <t>STEP 3</t>
        </is>
      </c>
      <c r="B25" s="5" t="inlineStr">
        <is>
          <t>CFD knowledge questionnaires (alternative rescue)</t>
        </is>
      </c>
    </row>
    <row r="26">
      <c r="B26" s="14" t="inlineStr">
        <is>
          <t>On CySEC/FCA the experience rule blocks an inexperienced user UNLESS they pass one knowledge gate: the quiz above (score &gt;= -3), OR a 5-question CFD questionnaire with 3+ correct, OR a second 5-question questionnaire with 3+ correct. The exact questions are on the Rules tab. Enter how many of each set the user answered correctly.</t>
        </is>
      </c>
    </row>
    <row r="27"/>
    <row r="28"/>
    <row r="29">
      <c r="A29" s="10" t="n"/>
      <c r="B29" s="11" t="inlineStr">
        <is>
          <t>Questionnaire set 1 - number correct (of 5)</t>
        </is>
      </c>
      <c r="C29" s="12" t="n">
        <v>0</v>
      </c>
      <c r="D29" s="10" t="n"/>
      <c r="E29" s="10" t="n"/>
      <c r="F29" s="13" t="inlineStr">
        <is>
          <t>MinCount 3 to rescue</t>
        </is>
      </c>
    </row>
    <row r="30">
      <c r="A30" s="10" t="n"/>
      <c r="B30" s="11" t="inlineStr">
        <is>
          <t>Questionnaire set 2 - number correct (of 5)</t>
        </is>
      </c>
      <c r="C30" s="12" t="n">
        <v>0</v>
      </c>
      <c r="D30" s="10" t="n"/>
      <c r="E30" s="10" t="n"/>
      <c r="F30" s="13" t="inlineStr">
        <is>
          <t>MinCount 3 to rescue</t>
        </is>
      </c>
    </row>
    <row r="32">
      <c r="A32" s="5" t="inlineStr">
        <is>
          <t>STEP 4</t>
        </is>
      </c>
      <c r="B32" s="5" t="inlineStr">
        <is>
          <t>Auto-release (experience rule only)</t>
        </is>
      </c>
    </row>
    <row r="33">
      <c r="B33" s="14" t="inlineStr">
        <is>
          <t>The experience knockout auto-releases 60 days after first deposit once the user has 20 closed trades. This needs trading data the profile store does not hold, so it is an explicit input here rather than something the sheet can derive. KnockOut rules never auto-release.</t>
        </is>
      </c>
    </row>
    <row r="34"/>
    <row r="35">
      <c r="A35" s="10" t="n"/>
      <c r="B35" s="21" t="inlineStr">
        <is>
          <t>Days since first-time deposit</t>
        </is>
      </c>
      <c r="C35" s="22" t="n">
        <v>0</v>
      </c>
      <c r="D35" s="10" t="n"/>
      <c r="E35" s="10" t="n"/>
      <c r="F35" s="10" t="n"/>
    </row>
    <row r="36">
      <c r="A36" s="10" t="n"/>
      <c r="B36" s="21" t="inlineStr">
        <is>
          <t>Closed trades since FTD</t>
        </is>
      </c>
      <c r="C36" s="22" t="n">
        <v>0</v>
      </c>
      <c r="D36" s="10" t="n"/>
      <c r="E36" s="10" t="n"/>
      <c r="F36" s="10" t="n"/>
    </row>
    <row r="37">
      <c r="A37" s="10" t="n"/>
      <c r="B37" s="21" t="inlineStr">
        <is>
          <t>Experience rule auto-released?</t>
        </is>
      </c>
      <c r="C37" s="20">
        <f>IF(AND(C35&gt;=60,C36&gt;=20),"YES","no")</f>
        <v/>
      </c>
      <c r="D37" s="10" t="n"/>
      <c r="E37" s="10" t="n"/>
      <c r="F37" s="10" t="n"/>
    </row>
    <row r="39">
      <c r="A39" s="5" t="inlineStr">
        <is>
          <t>STEP 5</t>
        </is>
      </c>
      <c r="B39" s="5" t="inlineStr">
        <is>
          <t>Product knockouts</t>
        </is>
      </c>
    </row>
    <row r="40">
      <c r="B40" s="14" t="inlineStr">
        <is>
          <t>Each product is an independent formula. A missing product simply is not gated by NM under this regulation - it is NOT an implicit 'not blocked'. Rules within a product are independent: passing or auto-releasing one does not clear another. Working model for combining rules: blocked if any still-active rule is Blocked (see Readme caveat).</t>
        </is>
      </c>
    </row>
    <row r="41"/>
    <row r="42"/>
    <row r="43">
      <c r="B43" s="2" t="inlineStr">
        <is>
          <t>CFD</t>
        </is>
      </c>
      <c r="F43" s="8" t="inlineStr">
        <is>
          <t>DefaultResult: Blocked</t>
        </is>
      </c>
    </row>
    <row r="44">
      <c r="B44" s="14" t="inlineStr">
        <is>
          <t>KnockOut has no auto-release. Experience auto-releases below.</t>
        </is>
      </c>
    </row>
    <row r="45" ht="20" customHeight="1">
      <c r="A45" s="9" t="inlineStr"/>
      <c r="B45" s="9" t="inlineStr">
        <is>
          <t>Rule / check</t>
        </is>
      </c>
      <c r="C45" s="9" t="inlineStr">
        <is>
          <t>Blocking answers (config)</t>
        </is>
      </c>
      <c r="D45" s="9" t="inlineStr">
        <is>
          <t>Your answer</t>
        </is>
      </c>
      <c r="E45" s="9" t="inlineStr">
        <is>
          <t>Fires?</t>
        </is>
      </c>
      <c r="F45" s="9" t="inlineStr"/>
    </row>
    <row r="46" ht="16" customHeight="1">
      <c r="A46" s="10" t="n"/>
      <c r="B46" s="11" t="inlineStr">
        <is>
          <t>Appetite 5%/-3%  OR  income Up to 10K</t>
        </is>
      </c>
      <c r="C46" s="23" t="inlineStr">
        <is>
          <t>RiskAppetite=Plus5ToMinus3Percent; AnnualIncome=UpTo10K</t>
        </is>
      </c>
      <c r="D46" s="10" t="n"/>
      <c r="E46" s="16">
        <f>IF(OR(OR(C6="5% / -3%"),OR(C7="Up to 10K")),"YES","no")</f>
        <v/>
      </c>
      <c r="F46" s="13" t="inlineStr">
        <is>
          <t>KnockOut</t>
        </is>
      </c>
    </row>
    <row r="47" ht="36" customHeight="1">
      <c r="A47" s="10" t="n"/>
      <c r="B47" s="11" t="inlineStr">
        <is>
          <t>Inexperienced (never crypto AND never CFD AND no knowledge) and fails every knowledge gate</t>
        </is>
      </c>
      <c r="C47" s="23" t="inlineStr">
        <is>
          <t>Crypto=NeverTraded AND LeveragedCfd=NeverTraded AND TradingKnowledge=NoFinancialKnowledge; rescue if quiz&gt;=-3 OR set1&gt;=3 OR set2&gt;=3</t>
        </is>
      </c>
      <c r="D47" s="10" t="n"/>
      <c r="E47" s="16">
        <f>IF(AND(AND(C8="Never traded",C9="Never traded",C10="No financial knowledge"),NOT(OR(E23&gt;=-3,C29&gt;=3,C30&gt;=3))),"YES","no")</f>
        <v/>
      </c>
      <c r="F47" s="13" t="inlineStr">
        <is>
          <t>TradingExperience</t>
        </is>
      </c>
    </row>
    <row r="48">
      <c r="B48" s="14" t="inlineStr">
        <is>
          <t>Experience auto-release: 60 days from FTD + 20 closed trades. Effective experience block = raw block AND not auto-released.</t>
        </is>
      </c>
    </row>
    <row r="49">
      <c r="B49" s="19" t="inlineStr">
        <is>
          <t>CFD: result</t>
        </is>
      </c>
      <c r="C49" s="10" t="n"/>
      <c r="D49" s="10" t="n"/>
      <c r="E49" s="24">
        <f>IF(OR(OR(OR(C6="5% / -3%"),OR(C7="Up to 10K")),AND(AND(AND(C8="Never traded",C9="Never traded",C10="No financial knowledge"),NOT(OR(E23&gt;=-3,C29&gt;=3,C30&gt;=3))),C37="no")),"BLOCKED","Not blocked")</f>
        <v/>
      </c>
      <c r="F49" s="10" t="n"/>
    </row>
    <row r="50">
      <c r="B50" s="25" t="inlineStr">
        <is>
          <t>Nested experience + IsAlternative order is the least-verified part of this sheet. Confirm against CheckCalculator before treating a pass as authoritative.</t>
        </is>
      </c>
    </row>
    <row r="51"/>
    <row r="53">
      <c r="B53" s="2" t="inlineStr">
        <is>
          <t>Futures</t>
        </is>
      </c>
      <c r="F53" s="8" t="inlineStr">
        <is>
          <t>DefaultResult: Blocked</t>
        </is>
      </c>
    </row>
    <row r="54">
      <c r="B54" s="14" t="inlineStr">
        <is>
          <t>KnockOut has no auto-release. Experience auto-releases below.</t>
        </is>
      </c>
    </row>
    <row r="55" ht="20" customHeight="1">
      <c r="A55" s="9" t="inlineStr"/>
      <c r="B55" s="9" t="inlineStr">
        <is>
          <t>Rule / check</t>
        </is>
      </c>
      <c r="C55" s="9" t="inlineStr">
        <is>
          <t>Blocking answers (config)</t>
        </is>
      </c>
      <c r="D55" s="9" t="inlineStr">
        <is>
          <t>Your answer</t>
        </is>
      </c>
      <c r="E55" s="9" t="inlineStr">
        <is>
          <t>Fires?</t>
        </is>
      </c>
      <c r="F55" s="9" t="inlineStr"/>
    </row>
    <row r="56" ht="16" customHeight="1">
      <c r="A56" s="10" t="n"/>
      <c r="B56" s="11" t="inlineStr">
        <is>
          <t>Appetite 5%/-3%  OR  income Up to 10K</t>
        </is>
      </c>
      <c r="C56" s="23" t="inlineStr">
        <is>
          <t>RiskAppetite=Plus5ToMinus3Percent; AnnualIncome=UpTo10K</t>
        </is>
      </c>
      <c r="D56" s="10" t="n"/>
      <c r="E56" s="16">
        <f>IF(OR(OR(C6="5% / -3%"),OR(C7="Up to 10K")),"YES","no")</f>
        <v/>
      </c>
      <c r="F56" s="13" t="inlineStr">
        <is>
          <t>KnockOut</t>
        </is>
      </c>
    </row>
    <row r="57" ht="36" customHeight="1">
      <c r="A57" s="10" t="n"/>
      <c r="B57" s="11" t="inlineStr">
        <is>
          <t>Inexperienced (never crypto AND never CFD AND no knowledge) and fails every knowledge gate</t>
        </is>
      </c>
      <c r="C57" s="23" t="inlineStr">
        <is>
          <t>Crypto=NeverTraded AND LeveragedCfd=NeverTraded AND TradingKnowledge=NoFinancialKnowledge; rescue if quiz&gt;=-3 OR set1&gt;=3 OR set2&gt;=3</t>
        </is>
      </c>
      <c r="D57" s="10" t="n"/>
      <c r="E57" s="16">
        <f>IF(AND(AND(C8="Never traded",C9="Never traded",C10="No financial knowledge"),NOT(OR(E23&gt;=-3,C29&gt;=3,C30&gt;=3))),"YES","no")</f>
        <v/>
      </c>
      <c r="F57" s="13" t="inlineStr">
        <is>
          <t>TradingExperience</t>
        </is>
      </c>
    </row>
    <row r="58">
      <c r="B58" s="14" t="inlineStr">
        <is>
          <t>Experience auto-release: 60 days from FTD + 20 closed trades. Effective experience block = raw block AND not auto-released.</t>
        </is>
      </c>
    </row>
    <row r="59">
      <c r="B59" s="19" t="inlineStr">
        <is>
          <t>Futures: result</t>
        </is>
      </c>
      <c r="C59" s="10" t="n"/>
      <c r="D59" s="10" t="n"/>
      <c r="E59" s="24">
        <f>IF(OR(OR(OR(C6="5% / -3%"),OR(C7="Up to 10K")),AND(AND(AND(C8="Never traded",C9="Never traded",C10="No financial knowledge"),NOT(OR(E23&gt;=-3,C29&gt;=3,C30&gt;=3))),C37="no")),"BLOCKED","Not blocked")</f>
        <v/>
      </c>
      <c r="F59" s="10" t="n"/>
    </row>
    <row r="60">
      <c r="B60" s="25" t="inlineStr">
        <is>
          <t>Nested experience + IsAlternative order is the least-verified part of this sheet. Confirm against CheckCalculator before treating a pass as authoritative.</t>
        </is>
      </c>
    </row>
    <row r="61"/>
    <row r="63">
      <c r="B63" s="2" t="inlineStr">
        <is>
          <t>Margin (SMT)</t>
        </is>
      </c>
      <c r="F63" s="8" t="inlineStr">
        <is>
          <t>DefaultResult: Blocked</t>
        </is>
      </c>
    </row>
    <row r="64">
      <c r="B64" s="14" t="inlineStr">
        <is>
          <t>KnockOut has no auto-release. Experience auto-releases below.</t>
        </is>
      </c>
    </row>
    <row r="65" ht="20" customHeight="1">
      <c r="A65" s="9" t="inlineStr"/>
      <c r="B65" s="9" t="inlineStr">
        <is>
          <t>Rule / check</t>
        </is>
      </c>
      <c r="C65" s="9" t="inlineStr">
        <is>
          <t>Blocking answers (config)</t>
        </is>
      </c>
      <c r="D65" s="9" t="inlineStr">
        <is>
          <t>Your answer</t>
        </is>
      </c>
      <c r="E65" s="9" t="inlineStr">
        <is>
          <t>Fires?</t>
        </is>
      </c>
      <c r="F65" s="9" t="inlineStr"/>
    </row>
    <row r="66" ht="16" customHeight="1">
      <c r="A66" s="10" t="n"/>
      <c r="B66" s="11" t="inlineStr">
        <is>
          <t>Appetite 5%/-3%  OR  income Up to 10K</t>
        </is>
      </c>
      <c r="C66" s="23" t="inlineStr">
        <is>
          <t>RiskAppetite=Plus5ToMinus3Percent; AnnualIncome=UpTo10K</t>
        </is>
      </c>
      <c r="D66" s="10" t="n"/>
      <c r="E66" s="16">
        <f>IF(OR(OR(C6="5% / -3%"),OR(C7="Up to 10K")),"YES","no")</f>
        <v/>
      </c>
      <c r="F66" s="13" t="inlineStr">
        <is>
          <t>KnockOut</t>
        </is>
      </c>
    </row>
    <row r="67" ht="36" customHeight="1">
      <c r="A67" s="10" t="n"/>
      <c r="B67" s="11" t="inlineStr">
        <is>
          <t>Inexperienced (never crypto AND never CFD AND no knowledge) and fails every knowledge gate</t>
        </is>
      </c>
      <c r="C67" s="23" t="inlineStr">
        <is>
          <t>Crypto=NeverTraded AND LeveragedCfd=NeverTraded AND TradingKnowledge=NoFinancialKnowledge; rescue if quiz&gt;=-3 OR set1&gt;=3 OR set2&gt;=3</t>
        </is>
      </c>
      <c r="D67" s="10" t="n"/>
      <c r="E67" s="16">
        <f>IF(AND(AND(C8="Never traded",C9="Never traded",C10="No financial knowledge"),NOT(OR(E23&gt;=-3,C29&gt;=3,C30&gt;=3))),"YES","no")</f>
        <v/>
      </c>
      <c r="F67" s="13" t="inlineStr">
        <is>
          <t>TradingExperience</t>
        </is>
      </c>
    </row>
    <row r="68">
      <c r="B68" s="14" t="inlineStr">
        <is>
          <t>Experience auto-release: 60 days from FTD + 20 closed trades. Effective experience block = raw block AND not auto-released.</t>
        </is>
      </c>
    </row>
    <row r="69">
      <c r="B69" s="19" t="inlineStr">
        <is>
          <t>Margin (SMT): result</t>
        </is>
      </c>
      <c r="C69" s="10" t="n"/>
      <c r="D69" s="10" t="n"/>
      <c r="E69" s="24">
        <f>IF(OR(OR(OR(C6="5% / -3%"),OR(C7="Up to 10K")),AND(AND(AND(C8="Never traded",C9="Never traded",C10="No financial knowledge"),NOT(OR(E23&gt;=-3,C29&gt;=3,C30&gt;=3))),C37="no")),"BLOCKED","Not blocked")</f>
        <v/>
      </c>
      <c r="F69" s="10" t="n"/>
    </row>
    <row r="70">
      <c r="B70" s="25" t="inlineStr">
        <is>
          <t>Nested experience + IsAlternative order is the least-verified part of this sheet. Confirm against CheckCalculator before treating a pass as authoritative.</t>
        </is>
      </c>
    </row>
    <row r="71"/>
    <row r="73">
      <c r="B73" s="2" t="inlineStr">
        <is>
          <t>Experimental crypto</t>
        </is>
      </c>
      <c r="F73" s="8" t="inlineStr">
        <is>
          <t>DefaultResult: NotBlocked (check)</t>
        </is>
      </c>
    </row>
    <row r="74">
      <c r="B74" s="14" t="inlineStr">
        <is>
          <t>Lowest-appetite crypto overlay.</t>
        </is>
      </c>
    </row>
    <row r="75" ht="20" customHeight="1">
      <c r="A75" s="9" t="inlineStr"/>
      <c r="B75" s="9" t="inlineStr">
        <is>
          <t>Rule / check</t>
        </is>
      </c>
      <c r="C75" s="9" t="inlineStr">
        <is>
          <t>Blocking answers (config)</t>
        </is>
      </c>
      <c r="D75" s="9" t="inlineStr">
        <is>
          <t>Your answer</t>
        </is>
      </c>
      <c r="E75" s="9" t="inlineStr">
        <is>
          <t>Fires?</t>
        </is>
      </c>
      <c r="F75" s="9" t="inlineStr"/>
    </row>
    <row r="76" ht="16" customHeight="1">
      <c r="A76" s="10" t="n"/>
      <c r="B76" s="11" t="inlineStr">
        <is>
          <t>Appetite 5%/-3%</t>
        </is>
      </c>
      <c r="C76" s="23" t="inlineStr">
        <is>
          <t>RiskAppetite=Plus5ToMinus3Percent</t>
        </is>
      </c>
      <c r="D76" s="10" t="n"/>
      <c r="E76" s="16">
        <f>IF(OR(OR(C6="5% / -3%")),"YES","no")</f>
        <v/>
      </c>
      <c r="F76" s="13" t="inlineStr">
        <is>
          <t>KnockOut</t>
        </is>
      </c>
    </row>
    <row r="77">
      <c r="B77" s="19" t="inlineStr">
        <is>
          <t>Experimental crypto: result</t>
        </is>
      </c>
      <c r="C77" s="10" t="n"/>
      <c r="D77" s="10" t="n"/>
      <c r="E77" s="24">
        <f>IF(OR(OR(C6="5% / -3%")),"BLOCKED","Not blocked")</f>
        <v/>
      </c>
      <c r="F77" s="10" t="n"/>
    </row>
    <row r="79">
      <c r="A79" s="5" t="inlineStr">
        <is>
          <t>STEP 6</t>
        </is>
      </c>
      <c r="B79" s="5" t="inlineStr">
        <is>
          <t>Summary - Negative Market status per product</t>
        </is>
      </c>
    </row>
    <row r="80" ht="20" customHeight="1">
      <c r="A80" s="9" t="inlineStr"/>
      <c r="B80" s="9" t="inlineStr">
        <is>
          <t>Product</t>
        </is>
      </c>
      <c r="C80" s="9" t="inlineStr">
        <is>
          <t>Status</t>
        </is>
      </c>
      <c r="D80" s="9" t="inlineStr"/>
      <c r="E80" s="9" t="inlineStr"/>
      <c r="F80" s="9" t="inlineStr"/>
    </row>
    <row r="81">
      <c r="A81" s="10" t="n"/>
      <c r="B81" s="21" t="inlineStr">
        <is>
          <t>CFD</t>
        </is>
      </c>
      <c r="C81" s="26">
        <f>E49</f>
        <v/>
      </c>
      <c r="D81" s="10" t="n"/>
      <c r="E81" s="10" t="n"/>
      <c r="F81" s="10" t="n"/>
    </row>
    <row r="82">
      <c r="A82" s="10" t="n"/>
      <c r="B82" s="21" t="inlineStr">
        <is>
          <t>Futures</t>
        </is>
      </c>
      <c r="C82" s="26">
        <f>E59</f>
        <v/>
      </c>
      <c r="D82" s="10" t="n"/>
      <c r="E82" s="10" t="n"/>
      <c r="F82" s="10" t="n"/>
    </row>
    <row r="83">
      <c r="A83" s="10" t="n"/>
      <c r="B83" s="21" t="inlineStr">
        <is>
          <t>Margin (SMT)</t>
        </is>
      </c>
      <c r="C83" s="26">
        <f>E69</f>
        <v/>
      </c>
      <c r="D83" s="10" t="n"/>
      <c r="E83" s="10" t="n"/>
      <c r="F83" s="10" t="n"/>
    </row>
    <row r="84">
      <c r="A84" s="10" t="n"/>
      <c r="B84" s="21" t="inlineStr">
        <is>
          <t>Experimental crypto</t>
        </is>
      </c>
      <c r="C84" s="26">
        <f>E77</f>
        <v/>
      </c>
      <c r="D84" s="10" t="n"/>
      <c r="E84" s="10" t="n"/>
      <c r="F84" s="10" t="n"/>
    </row>
    <row r="86">
      <c r="B86" s="14" t="inlineStr">
        <is>
          <t>This tab is Negative Market only. Suitability (copy risk score) and the Appropriateness status are separate tests with their own outcomes - use their own tools. A user can be NM-blocked on CFDs and perfectly fine to copy, or vice versa.</t>
        </is>
      </c>
    </row>
    <row r="87"/>
  </sheetData>
  <mergeCells count="16">
    <mergeCell ref="B26:F28"/>
    <mergeCell ref="A2:F2"/>
    <mergeCell ref="B40:F42"/>
    <mergeCell ref="B13:F15"/>
    <mergeCell ref="B44:F44"/>
    <mergeCell ref="B60:F61"/>
    <mergeCell ref="B68:F68"/>
    <mergeCell ref="B70:F71"/>
    <mergeCell ref="B48:F48"/>
    <mergeCell ref="B54:F54"/>
    <mergeCell ref="B64:F64"/>
    <mergeCell ref="B86:F87"/>
    <mergeCell ref="B33:F34"/>
    <mergeCell ref="B50:F51"/>
    <mergeCell ref="B58:F58"/>
    <mergeCell ref="B74:F74"/>
  </mergeCells>
  <dataValidations count="13">
    <dataValidation sqref="C6" showDropDown="0" showInputMessage="0" showErrorMessage="0" allowBlank="0" type="list">
      <formula1>Lists!$A$2:$A$6</formula1>
    </dataValidation>
    <dataValidation sqref="C7" showDropDown="0" showInputMessage="0" showErrorMessage="0" allowBlank="0" type="list">
      <formula1>Lists!$B$2:$B$11</formula1>
    </dataValidation>
    <dataValidation sqref="C8" showDropDown="0" showInputMessage="0" showErrorMessage="0" allowBlank="0" type="list">
      <formula1>Lists!$D$2:$D$3</formula1>
    </dataValidation>
    <dataValidation sqref="C9" showDropDown="0" showInputMessage="0" showErrorMessage="0" allowBlank="0" type="list">
      <formula1>Lists!$D$2:$D$3</formula1>
    </dataValidation>
    <dataValidation sqref="C10" showDropDown="0" showInputMessage="0" showErrorMessage="0" allowBlank="0" type="list">
      <formula1>Lists!$E$2:$E$5</formula1>
    </dataValidation>
    <dataValidation sqref="C17" showDropDown="0" showInputMessage="0" showErrorMessage="0" allowBlank="0" type="list">
      <formula1>Lists!$H$2:$H$3</formula1>
    </dataValidation>
    <dataValidation sqref="C18" showDropDown="0" showInputMessage="0" showErrorMessage="0" allowBlank="0" type="list">
      <formula1>Lists!$H$2:$H$3</formula1>
    </dataValidation>
    <dataValidation sqref="C19" showDropDown="0" showInputMessage="0" showErrorMessage="0" allowBlank="0" type="list">
      <formula1>Lists!$H$2:$H$3</formula1>
    </dataValidation>
    <dataValidation sqref="C20" showDropDown="0" showInputMessage="0" showErrorMessage="0" allowBlank="0" type="list">
      <formula1>Lists!$H$2:$H$3</formula1>
    </dataValidation>
    <dataValidation sqref="C21" showDropDown="0" showInputMessage="0" showErrorMessage="0" allowBlank="0" type="list">
      <formula1>Lists!$H$2:$H$3</formula1>
    </dataValidation>
    <dataValidation sqref="C22" showDropDown="0" showInputMessage="0" showErrorMessage="0" allowBlank="0" type="list">
      <formula1>Lists!$H$2:$H$3</formula1>
    </dataValidation>
    <dataValidation sqref="C29" showDropDown="0" showInputMessage="0" showErrorMessage="0" allowBlank="0" type="list">
      <formula1>Lists!$I$2:$I$7</formula1>
    </dataValidation>
    <dataValidation sqref="C30" showDropDown="0" showInputMessage="0" showErrorMessage="0" allowBlank="0" type="list">
      <formula1>Lists!$I$2:$I$7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showGridLines="0" workbookViewId="0">
      <pane ySplit="3" topLeftCell="A4" activePane="bottomLeft" state="frozen"/>
      <selection pane="bottomLeft" activeCell="A1" sqref="A1"/>
    </sheetView>
  </sheetViews>
  <sheetFormatPr baseColWidth="8" defaultRowHeight="15"/>
  <cols>
    <col width="3" customWidth="1" min="1" max="1"/>
    <col width="44" customWidth="1" min="2" max="2"/>
    <col width="30" customWidth="1" min="3" max="3"/>
    <col width="22" customWidth="1" min="4" max="4"/>
    <col width="12" customWidth="1" min="5" max="5"/>
    <col width="30" customWidth="1" min="6" max="6"/>
  </cols>
  <sheetData>
    <row r="1">
      <c r="A1" s="7" t="inlineStr">
        <is>
          <t>Negative Market - FCA</t>
        </is>
      </c>
    </row>
    <row r="2">
      <c r="A2" s="8" t="inlineStr">
        <is>
          <t>Models FCA-15, the live configuration for FCA. Answer the yellow cells; every product knockout below is computed from them. This is Negative Market only - not the copy suitability score, not appropriateness.</t>
        </is>
      </c>
    </row>
    <row r="4">
      <c r="A4" s="5" t="inlineStr">
        <is>
          <t>STEP 1</t>
        </is>
      </c>
      <c r="B4" s="5" t="inlineStr">
        <is>
          <t>KYC answers</t>
        </is>
      </c>
    </row>
    <row r="5" ht="20" customHeight="1">
      <c r="A5" s="9" t="inlineStr"/>
      <c r="B5" s="9" t="inlineStr">
        <is>
          <t>Question</t>
        </is>
      </c>
      <c r="C5" s="9" t="inlineStr">
        <is>
          <t>Your answer</t>
        </is>
      </c>
      <c r="D5" s="9" t="inlineStr"/>
      <c r="E5" s="9" t="inlineStr"/>
      <c r="F5" s="9" t="inlineStr">
        <is>
          <t>Config question</t>
        </is>
      </c>
    </row>
    <row r="6">
      <c r="A6" s="10" t="n"/>
      <c r="B6" s="11" t="inlineStr">
        <is>
          <t>Q9 gain / loss appetite</t>
        </is>
      </c>
      <c r="C6" s="12" t="inlineStr">
        <is>
          <t>20% / -12%</t>
        </is>
      </c>
      <c r="D6" s="10" t="n"/>
      <c r="E6" s="10" t="n"/>
      <c r="F6" s="13" t="inlineStr">
        <is>
          <t>RiskAppetite</t>
        </is>
      </c>
    </row>
    <row r="7">
      <c r="A7" s="10" t="n"/>
      <c r="B7" s="11" t="inlineStr">
        <is>
          <t>Q10 net annual income</t>
        </is>
      </c>
      <c r="C7" s="12" t="inlineStr">
        <is>
          <t>50K - 200K</t>
        </is>
      </c>
      <c r="D7" s="10" t="n"/>
      <c r="E7" s="10" t="n"/>
      <c r="F7" s="13" t="inlineStr">
        <is>
          <t>AnnualIncome</t>
        </is>
      </c>
    </row>
    <row r="8">
      <c r="A8" s="10" t="n"/>
      <c r="B8" s="11" t="inlineStr">
        <is>
          <t>Q11 liquid assets</t>
        </is>
      </c>
      <c r="C8" s="12" t="inlineStr">
        <is>
          <t>50K - 200K</t>
        </is>
      </c>
      <c r="D8" s="10" t="n"/>
      <c r="E8" s="10" t="n"/>
      <c r="F8" s="13" t="inlineStr">
        <is>
          <t>LiquidAssets</t>
        </is>
      </c>
    </row>
    <row r="9">
      <c r="A9" s="10" t="n"/>
      <c r="B9" s="11" t="inlineStr">
        <is>
          <t>Q15 source of income</t>
        </is>
      </c>
      <c r="C9" s="12" t="inlineStr">
        <is>
          <t>Salary</t>
        </is>
      </c>
      <c r="D9" s="10" t="n"/>
      <c r="E9" s="10" t="n"/>
      <c r="F9" s="13" t="inlineStr">
        <is>
          <t>IncomeSource</t>
        </is>
      </c>
    </row>
    <row r="10">
      <c r="A10" s="10" t="n"/>
      <c r="B10" s="11" t="inlineStr">
        <is>
          <t>Q occupation</t>
        </is>
      </c>
      <c r="C10" s="12" t="inlineStr">
        <is>
          <t>Employed</t>
        </is>
      </c>
      <c r="D10" s="10" t="n"/>
      <c r="E10" s="10" t="n"/>
      <c r="F10" s="13" t="inlineStr">
        <is>
          <t>Occupation</t>
        </is>
      </c>
    </row>
    <row r="11">
      <c r="A11" s="10" t="n"/>
      <c r="B11" s="11" t="inlineStr">
        <is>
          <t>Have you traded crypto?</t>
        </is>
      </c>
      <c r="C11" s="12" t="inlineStr">
        <is>
          <t>Traded before</t>
        </is>
      </c>
      <c r="D11" s="10" t="n"/>
      <c r="E11" s="10" t="n"/>
      <c r="F11" s="13" t="inlineStr">
        <is>
          <t>Crypto</t>
        </is>
      </c>
    </row>
    <row r="12">
      <c r="A12" s="10" t="n"/>
      <c r="B12" s="11" t="inlineStr">
        <is>
          <t>Have you traded leveraged CFDs?</t>
        </is>
      </c>
      <c r="C12" s="12" t="inlineStr">
        <is>
          <t>Traded before</t>
        </is>
      </c>
      <c r="D12" s="10" t="n"/>
      <c r="E12" s="10" t="n"/>
      <c r="F12" s="13" t="inlineStr">
        <is>
          <t>LeveragedCfd</t>
        </is>
      </c>
    </row>
    <row r="13">
      <c r="A13" s="10" t="n"/>
      <c r="B13" s="11" t="inlineStr">
        <is>
          <t>Q3 financial knowledge</t>
        </is>
      </c>
      <c r="C13" s="12" t="inlineStr">
        <is>
          <t>Trading courses</t>
        </is>
      </c>
      <c r="D13" s="10" t="n"/>
      <c r="E13" s="10" t="n"/>
      <c r="F13" s="13" t="inlineStr">
        <is>
          <t>TradingKnowledge</t>
        </is>
      </c>
    </row>
    <row r="15">
      <c r="A15" s="5" t="inlineStr">
        <is>
          <t>STEP 2</t>
        </is>
      </c>
      <c r="B15" s="5" t="inlineStr">
        <is>
          <t>Q23 knowledge assessment (feeds the experience rule)</t>
        </is>
      </c>
    </row>
    <row r="16">
      <c r="B16" s="14" t="inlineStr">
        <is>
          <t>Same six-statement group as the copy test. Tick Yes for each statement you would select. Ticking a true statement or leaving a false one alone earns +2; the opposite costs -2. On Negative Market the cutoff is a pass/fail: score of -3 or higher does NOT block. (The copy test reads the same score through four risk bands instead.)</t>
        </is>
      </c>
    </row>
    <row r="17"/>
    <row r="18"/>
    <row r="19" ht="20" customHeight="1">
      <c r="A19" s="9" t="inlineStr">
        <is>
          <t>ID</t>
        </is>
      </c>
      <c r="B19" s="9" t="inlineStr">
        <is>
          <t>Statement</t>
        </is>
      </c>
      <c r="C19" s="9" t="inlineStr">
        <is>
          <t>Selected?</t>
        </is>
      </c>
      <c r="D19" s="9" t="inlineStr">
        <is>
          <t>Weight</t>
        </is>
      </c>
      <c r="E19" s="9" t="inlineStr">
        <is>
          <t>Contribution</t>
        </is>
      </c>
      <c r="F19" s="9" t="inlineStr">
        <is>
          <t>Config name</t>
        </is>
      </c>
    </row>
    <row r="20" ht="24" customHeight="1">
      <c r="A20" s="13" t="n">
        <v>142</v>
      </c>
      <c r="B20" s="11" t="inlineStr">
        <is>
          <t>$1,000 at 20x leverage: a 5% adverse move wipes out my investment</t>
        </is>
      </c>
      <c r="C20" s="12" t="inlineStr">
        <is>
          <t>Yes</t>
        </is>
      </c>
      <c r="D20" s="15" t="inlineStr">
        <is>
          <t>+2</t>
        </is>
      </c>
      <c r="E20" s="16">
        <f>IF(C20="Yes",2,-2)</f>
        <v/>
      </c>
      <c r="F20" s="17" t="inlineStr">
        <is>
          <t>NewerLeverage</t>
        </is>
      </c>
    </row>
    <row r="21" ht="24" customHeight="1">
      <c r="A21" s="13" t="n">
        <v>144</v>
      </c>
      <c r="B21" s="11" t="inlineStr">
        <is>
          <t>If account equity falls below required margin, a margin call liquidates positions</t>
        </is>
      </c>
      <c r="C21" s="12" t="inlineStr">
        <is>
          <t>No</t>
        </is>
      </c>
      <c r="D21" s="15" t="inlineStr">
        <is>
          <t>+2</t>
        </is>
      </c>
      <c r="E21" s="16">
        <f>IF(C21="Yes",2,-2)</f>
        <v/>
      </c>
      <c r="F21" s="17" t="inlineStr">
        <is>
          <t>NewerMarginCall</t>
        </is>
      </c>
    </row>
    <row r="22" ht="24" customHeight="1">
      <c r="A22" s="13" t="n">
        <v>143</v>
      </c>
      <c r="B22" s="11" t="inlineStr">
        <is>
          <t>If Google rises on NASDAQ, my Google CFD goes down</t>
        </is>
      </c>
      <c r="C22" s="12" t="inlineStr">
        <is>
          <t>Yes</t>
        </is>
      </c>
      <c r="D22" s="15" t="inlineStr">
        <is>
          <t>-2</t>
        </is>
      </c>
      <c r="E22" s="16">
        <f>IF(C22="Yes",-2,2)</f>
        <v/>
      </c>
      <c r="F22" s="17" t="inlineStr">
        <is>
          <t>NewerCfd</t>
        </is>
      </c>
    </row>
    <row r="23" ht="24" customHeight="1">
      <c r="A23" s="13" t="n">
        <v>145</v>
      </c>
      <c r="B23" s="11" t="inlineStr">
        <is>
          <t>My positions stay open even when a stop loss is triggered</t>
        </is>
      </c>
      <c r="C23" s="12" t="inlineStr">
        <is>
          <t>No</t>
        </is>
      </c>
      <c r="D23" s="15" t="inlineStr">
        <is>
          <t>-2</t>
        </is>
      </c>
      <c r="E23" s="16">
        <f>IF(C23="Yes",-2,2)</f>
        <v/>
      </c>
      <c r="F23" s="17" t="inlineStr">
        <is>
          <t>NewerStopLossTrigger</t>
        </is>
      </c>
    </row>
    <row r="24" ht="24" customHeight="1">
      <c r="A24" s="13" t="n">
        <v>146</v>
      </c>
      <c r="B24" s="11" t="inlineStr">
        <is>
          <t>If the market gaps through my stop loss, it closes at the exact stop level</t>
        </is>
      </c>
      <c r="C24" s="12" t="inlineStr">
        <is>
          <t>No</t>
        </is>
      </c>
      <c r="D24" s="15" t="inlineStr">
        <is>
          <t>-2</t>
        </is>
      </c>
      <c r="E24" s="16">
        <f>IF(C24="Yes",-2,2)</f>
        <v/>
      </c>
      <c r="F24" s="17" t="inlineStr">
        <is>
          <t>NewerStopLossGapThrough</t>
        </is>
      </c>
    </row>
    <row r="25" ht="24" customHeight="1">
      <c r="A25" s="13" t="n">
        <v>212</v>
      </c>
      <c r="B25" s="11" t="inlineStr">
        <is>
          <t>I can sell my OTC complex products (CFD, TRS) outside eToro  [RETIRED - no longer asked]</t>
        </is>
      </c>
      <c r="C25" s="18" t="inlineStr">
        <is>
          <t>No</t>
        </is>
      </c>
      <c r="D25" s="15" t="inlineStr">
        <is>
          <t>-2</t>
        </is>
      </c>
      <c r="E25" s="16">
        <f>IF(C25="Yes",-2,2)</f>
        <v/>
      </c>
      <c r="F25" s="17" t="inlineStr">
        <is>
          <t>NewerCfdTrs</t>
        </is>
      </c>
    </row>
    <row r="26">
      <c r="A26" s="10" t="n"/>
      <c r="B26" s="19" t="inlineStr">
        <is>
          <t>Assessment total score</t>
        </is>
      </c>
      <c r="C26" s="10" t="n"/>
      <c r="D26" s="10" t="n"/>
      <c r="E26" s="20">
        <f>SUM(E20:E25)</f>
        <v/>
      </c>
      <c r="F26" s="13">
        <f>IF(E26&gt;=-3,"pass (&gt;= -3)","FAIL (&lt; -3)")</f>
        <v/>
      </c>
    </row>
    <row r="28">
      <c r="A28" s="5" t="inlineStr">
        <is>
          <t>STEP 3</t>
        </is>
      </c>
      <c r="B28" s="5" t="inlineStr">
        <is>
          <t>CFD knowledge questionnaires (alternative rescue)</t>
        </is>
      </c>
    </row>
    <row r="29">
      <c r="B29" s="14" t="inlineStr">
        <is>
          <t>On CySEC/FCA the experience rule blocks an inexperienced user UNLESS they pass one knowledge gate: the quiz above (score &gt;= -3), OR a 5-question CFD questionnaire with 3+ correct, OR a second 5-question questionnaire with 3+ correct. The exact questions are on the Rules tab. Enter how many of each set the user answered correctly.</t>
        </is>
      </c>
    </row>
    <row r="30"/>
    <row r="31"/>
    <row r="32">
      <c r="A32" s="10" t="n"/>
      <c r="B32" s="11" t="inlineStr">
        <is>
          <t>Questionnaire set 1 - number correct (of 5)</t>
        </is>
      </c>
      <c r="C32" s="12" t="n">
        <v>0</v>
      </c>
      <c r="D32" s="10" t="n"/>
      <c r="E32" s="10" t="n"/>
      <c r="F32" s="13" t="inlineStr">
        <is>
          <t>MinCount 3 to rescue</t>
        </is>
      </c>
    </row>
    <row r="33">
      <c r="A33" s="10" t="n"/>
      <c r="B33" s="11" t="inlineStr">
        <is>
          <t>Questionnaire set 2 - number correct (of 5)</t>
        </is>
      </c>
      <c r="C33" s="12" t="n">
        <v>0</v>
      </c>
      <c r="D33" s="10" t="n"/>
      <c r="E33" s="10" t="n"/>
      <c r="F33" s="13" t="inlineStr">
        <is>
          <t>MinCount 3 to rescue</t>
        </is>
      </c>
    </row>
    <row r="35">
      <c r="A35" s="5" t="inlineStr">
        <is>
          <t>STEP 4</t>
        </is>
      </c>
      <c r="B35" s="5" t="inlineStr">
        <is>
          <t>Auto-release (experience rule only)</t>
        </is>
      </c>
    </row>
    <row r="36">
      <c r="B36" s="14" t="inlineStr">
        <is>
          <t>The experience knockout auto-releases 30 days after first deposit once the user has 5 closed trades. This needs trading data the profile store does not hold, so it is an explicit input here rather than something the sheet can derive. KnockOut rules never auto-release.</t>
        </is>
      </c>
    </row>
    <row r="37"/>
    <row r="38">
      <c r="A38" s="10" t="n"/>
      <c r="B38" s="21" t="inlineStr">
        <is>
          <t>Days since first-time deposit</t>
        </is>
      </c>
      <c r="C38" s="22" t="n">
        <v>0</v>
      </c>
      <c r="D38" s="10" t="n"/>
      <c r="E38" s="10" t="n"/>
      <c r="F38" s="10" t="n"/>
    </row>
    <row r="39">
      <c r="A39" s="10" t="n"/>
      <c r="B39" s="21" t="inlineStr">
        <is>
          <t>Closed trades since FTD</t>
        </is>
      </c>
      <c r="C39" s="22" t="n">
        <v>0</v>
      </c>
      <c r="D39" s="10" t="n"/>
      <c r="E39" s="10" t="n"/>
      <c r="F39" s="10" t="n"/>
    </row>
    <row r="40">
      <c r="A40" s="10" t="n"/>
      <c r="B40" s="21" t="inlineStr">
        <is>
          <t>Experience rule auto-released?</t>
        </is>
      </c>
      <c r="C40" s="20">
        <f>IF(AND(C38&gt;=30,C39&gt;=5),"YES","no")</f>
        <v/>
      </c>
      <c r="D40" s="10" t="n"/>
      <c r="E40" s="10" t="n"/>
      <c r="F40" s="10" t="n"/>
    </row>
    <row r="42">
      <c r="A42" s="5" t="inlineStr">
        <is>
          <t>STEP 5</t>
        </is>
      </c>
      <c r="B42" s="5" t="inlineStr">
        <is>
          <t>UK crypto overlay (country 218)</t>
        </is>
      </c>
    </row>
    <row r="43">
      <c r="B43" s="14" t="inlineStr">
        <is>
          <t>FCA (UK) only. Applies to a user scored under this regulation AND resident in country 218 (GB). Fail-closed: crypto stays blocked unless the user scores 5/5 on a crypto-knowledge check AND attests both high-net-worth and sophisticated-investor status.</t>
        </is>
      </c>
    </row>
    <row r="44"/>
    <row r="45"/>
    <row r="46">
      <c r="A46" s="10" t="n"/>
      <c r="B46" s="11" t="inlineStr">
        <is>
          <t>Crypto-knowledge answers correct (of 5)</t>
        </is>
      </c>
      <c r="C46" s="12" t="n">
        <v>0</v>
      </c>
      <c r="D46" s="10" t="n"/>
      <c r="E46" s="10" t="n"/>
      <c r="F46" s="13" t="inlineStr">
        <is>
          <t>MinTotalScore 5</t>
        </is>
      </c>
    </row>
    <row r="47">
      <c r="A47" s="10" t="n"/>
      <c r="B47" s="11" t="inlineStr">
        <is>
          <t>I confirm high-net-worth investor</t>
        </is>
      </c>
      <c r="C47" s="12" t="inlineStr">
        <is>
          <t>No</t>
        </is>
      </c>
      <c r="D47" s="10" t="n"/>
      <c r="E47" s="10" t="n"/>
      <c r="F47" s="13" t="inlineStr">
        <is>
          <t>IConfirmExposeHighNetWorthInvestor</t>
        </is>
      </c>
    </row>
    <row r="48">
      <c r="A48" s="10" t="n"/>
      <c r="B48" s="11" t="inlineStr">
        <is>
          <t>I confirm sophisticated investor</t>
        </is>
      </c>
      <c r="C48" s="12" t="inlineStr">
        <is>
          <t>No</t>
        </is>
      </c>
      <c r="D48" s="10" t="n"/>
      <c r="E48" s="10" t="n"/>
      <c r="F48" s="13" t="inlineStr">
        <is>
          <t>IConfirmExposeSophisticatedInvestor</t>
        </is>
      </c>
    </row>
    <row r="50">
      <c r="A50" s="5" t="inlineStr">
        <is>
          <t>STEP 6</t>
        </is>
      </c>
      <c r="B50" s="5" t="inlineStr">
        <is>
          <t>Product knockouts</t>
        </is>
      </c>
    </row>
    <row r="51">
      <c r="B51" s="14" t="inlineStr">
        <is>
          <t>Each product is an independent formula. A missing product simply is not gated by NM under this regulation - it is NOT an implicit 'not blocked'. Rules within a product are independent: passing or auto-releasing one does not clear another. Working model for combining rules: blocked if any still-active rule is Blocked (see Readme caveat).</t>
        </is>
      </c>
    </row>
    <row r="52"/>
    <row r="53"/>
    <row r="54">
      <c r="B54" s="2" t="inlineStr">
        <is>
          <t>CFD</t>
        </is>
      </c>
      <c r="F54" s="8" t="inlineStr">
        <is>
          <t>DefaultResult: Blocked</t>
        </is>
      </c>
    </row>
    <row r="55">
      <c r="B55" s="14" t="inlineStr">
        <is>
          <t>FCA adds two low-means checks the other regulations do not have.</t>
        </is>
      </c>
    </row>
    <row r="56" ht="20" customHeight="1">
      <c r="A56" s="9" t="inlineStr"/>
      <c r="B56" s="9" t="inlineStr">
        <is>
          <t>Rule / check</t>
        </is>
      </c>
      <c r="C56" s="9" t="inlineStr">
        <is>
          <t>Blocking answers (config)</t>
        </is>
      </c>
      <c r="D56" s="9" t="inlineStr">
        <is>
          <t>Your answer</t>
        </is>
      </c>
      <c r="E56" s="9" t="inlineStr">
        <is>
          <t>Fires?</t>
        </is>
      </c>
      <c r="F56" s="9" t="inlineStr"/>
    </row>
    <row r="57" ht="16" customHeight="1">
      <c r="A57" s="10" t="n"/>
      <c r="B57" s="11" t="inlineStr">
        <is>
          <t>Appetite 5%/-3%  OR  income Up to 10K</t>
        </is>
      </c>
      <c r="C57" s="23" t="inlineStr">
        <is>
          <t>RiskAppetite=Plus5ToMinus3Percent; AnnualIncome=UpTo10K</t>
        </is>
      </c>
      <c r="D57" s="10" t="n"/>
      <c r="E57" s="16">
        <f>IF(OR(OR(C6="5% / -3%"),OR(C7="Up to 10K")),"YES","no")</f>
        <v/>
      </c>
      <c r="F57" s="13" t="inlineStr">
        <is>
          <t>KnockOut c1</t>
        </is>
      </c>
    </row>
    <row r="58" ht="36" customHeight="1">
      <c r="A58" s="10" t="n"/>
      <c r="B58" s="11" t="inlineStr">
        <is>
          <t>ALL: source in {Pension,Salary}; income &lt;=50K band; assets &lt;=500K band; occupation in {NoOccupation,Retired}</t>
        </is>
      </c>
      <c r="C58" s="23" t="inlineStr">
        <is>
          <t>IncomeSource All {Pension,Salary}; AnnualIncome; LiquidAssets; Occupation</t>
        </is>
      </c>
      <c r="D58" s="10" t="n"/>
      <c r="E58" s="16">
        <f>IF(AND(OR(C9="Pension",C9="Salary"),OR(C7="Less than 25K (alt catalogue)",C7="10K - 25K (alt)",C7="25K - 50K (alt)",C7="Up to 10K",C7="10K - 50K"),OR(C8="Less than 25K (alt catalogue)",C8="10K - 25K (alt)",C8="25K - 50K (alt)",C8="Up to 10K",C8="10K - 50K",C8="50K - 200K",C8="200K - 500K (alt)"),OR(C10="No occupation",C10="Retired")),"YES","no")</f>
        <v/>
      </c>
      <c r="F58" s="13" t="inlineStr">
        <is>
          <t>KnockOut c2</t>
        </is>
      </c>
    </row>
    <row r="59" ht="24" customHeight="1">
      <c r="A59" s="10" t="n"/>
      <c r="B59" s="11" t="inlineStr">
        <is>
          <t>ALL: source = Pension; income &lt;=50K band; assets &lt;=500K band</t>
        </is>
      </c>
      <c r="C59" s="23" t="inlineStr">
        <is>
          <t>IncomeSource=Pension; AnnualIncome; LiquidAssets</t>
        </is>
      </c>
      <c r="D59" s="10" t="n"/>
      <c r="E59" s="16">
        <f>IF(AND(OR(C9="Pension"),OR(C7="Less than 25K (alt catalogue)",C7="10K - 25K (alt)",C7="25K - 50K (alt)",C7="Up to 10K",C7="10K - 50K"),OR(C8="Less than 25K (alt catalogue)",C8="10K - 25K (alt)",C8="25K - 50K (alt)",C8="Up to 10K",C8="10K - 50K",C8="50K - 200K",C8="200K - 500K (alt)")),"YES","no")</f>
        <v/>
      </c>
      <c r="F59" s="13" t="inlineStr">
        <is>
          <t>KnockOut c3</t>
        </is>
      </c>
    </row>
    <row r="60" ht="24" customHeight="1">
      <c r="A60" s="10" t="n"/>
      <c r="B60" s="11" t="inlineStr">
        <is>
          <t>Inexperienced and fails every knowledge gate</t>
        </is>
      </c>
      <c r="C60" s="23" t="inlineStr">
        <is>
          <t>as CFD nested; rescue if quiz&gt;=-3 OR set1&gt;=3 OR set2&gt;=3</t>
        </is>
      </c>
      <c r="D60" s="10" t="n"/>
      <c r="E60" s="16">
        <f>IF(AND(AND(C11="Never traded",C12="Never traded",C13="No financial knowledge"),NOT(OR(E26&gt;=-3,C32&gt;=3,C33&gt;=3))),"YES","no")</f>
        <v/>
      </c>
      <c r="F60" s="13" t="inlineStr">
        <is>
          <t>TradingExperience</t>
        </is>
      </c>
    </row>
    <row r="61">
      <c r="B61" s="14" t="inlineStr">
        <is>
          <t>Experience auto-release: 30 days from FTD + 5 closed trades.</t>
        </is>
      </c>
    </row>
    <row r="62">
      <c r="B62" s="19" t="inlineStr">
        <is>
          <t>CFD: result</t>
        </is>
      </c>
      <c r="C62" s="10" t="n"/>
      <c r="D62" s="10" t="n"/>
      <c r="E62" s="24">
        <f>IF(OR(OR(OR(C6="5% / -3%"),OR(C7="Up to 10K")),AND(OR(C9="Pension",C9="Salary"),OR(C7="Less than 25K (alt catalogue)",C7="10K - 25K (alt)",C7="25K - 50K (alt)",C7="Up to 10K",C7="10K - 50K"),OR(C8="Less than 25K (alt catalogue)",C8="10K - 25K (alt)",C8="25K - 50K (alt)",C8="Up to 10K",C8="10K - 50K",C8="50K - 200K",C8="200K - 500K (alt)"),OR(C10="No occupation",C10="Retired")),AND(OR(C9="Pension"),OR(C7="Less than 25K (alt catalogue)",C7="10K - 25K (alt)",C7="25K - 50K (alt)",C7="Up to 10K",C7="10K - 50K"),OR(C8="Less than 25K (alt catalogue)",C8="10K - 25K (alt)",C8="25K - 50K (alt)",C8="Up to 10K",C8="10K - 50K",C8="50K - 200K",C8="200K - 500K (alt)")),AND(AND(AND(C11="Never traded",C12="Never traded",C13="No financial knowledge"),NOT(OR(E26&gt;=-3,C32&gt;=3,C33&gt;=3))),C40="no")),"BLOCKED","Not blocked")</f>
        <v/>
      </c>
      <c r="F62" s="10" t="n"/>
    </row>
    <row r="63">
      <c r="B63" s="25" t="inlineStr">
        <is>
          <t>Check c2 lists IncomeSource with Condition=All over {Pension,Salary}. If income source is single-select this check can never fire. Trace before use.</t>
        </is>
      </c>
    </row>
    <row r="64"/>
    <row r="66">
      <c r="B66" s="14" t="inlineStr">
        <is>
          <t>Futures: identical structure to CFD above (same three KnockOut checks + experience). Same result for the same answers.</t>
        </is>
      </c>
    </row>
    <row r="68">
      <c r="B68" s="2" t="inlineStr">
        <is>
          <t>Experimental crypto</t>
        </is>
      </c>
      <c r="F68" s="8" t="inlineStr">
        <is>
          <t>DefaultResult: Blocked (check)</t>
        </is>
      </c>
    </row>
    <row r="69">
      <c r="B69" s="14" t="inlineStr">
        <is>
          <t>Lowest-appetite crypto overlay.</t>
        </is>
      </c>
    </row>
    <row r="70" ht="20" customHeight="1">
      <c r="A70" s="9" t="inlineStr"/>
      <c r="B70" s="9" t="inlineStr">
        <is>
          <t>Rule / check</t>
        </is>
      </c>
      <c r="C70" s="9" t="inlineStr">
        <is>
          <t>Blocking answers (config)</t>
        </is>
      </c>
      <c r="D70" s="9" t="inlineStr">
        <is>
          <t>Your answer</t>
        </is>
      </c>
      <c r="E70" s="9" t="inlineStr">
        <is>
          <t>Fires?</t>
        </is>
      </c>
      <c r="F70" s="9" t="inlineStr"/>
    </row>
    <row r="71" ht="16" customHeight="1">
      <c r="A71" s="10" t="n"/>
      <c r="B71" s="11" t="inlineStr">
        <is>
          <t>Appetite 5%/-3%</t>
        </is>
      </c>
      <c r="C71" s="23" t="inlineStr">
        <is>
          <t>RiskAppetite=Plus5ToMinus3Percent</t>
        </is>
      </c>
      <c r="D71" s="10" t="n"/>
      <c r="E71" s="16">
        <f>IF(OR(OR(C6="5% / -3%")),"YES","no")</f>
        <v/>
      </c>
      <c r="F71" s="13" t="inlineStr">
        <is>
          <t>KnockOut</t>
        </is>
      </c>
    </row>
    <row r="72">
      <c r="B72" s="19" t="inlineStr">
        <is>
          <t>Experimental crypto: result</t>
        </is>
      </c>
      <c r="C72" s="10" t="n"/>
      <c r="D72" s="10" t="n"/>
      <c r="E72" s="24">
        <f>IF(OR(OR(C6="5% / -3%")),"BLOCKED","Not blocked")</f>
        <v/>
      </c>
      <c r="F72" s="10" t="n"/>
    </row>
    <row r="74">
      <c r="B74" s="2" t="inlineStr">
        <is>
          <t>ERS (elevated-risk securities)</t>
        </is>
      </c>
      <c r="F74" s="8" t="inlineStr">
        <is>
          <t>DefaultResult: NotBlocked (check)</t>
        </is>
      </c>
    </row>
    <row r="75">
      <c r="B75" s="14" t="inlineStr">
        <is>
          <t>No experience rule, no auto-release.</t>
        </is>
      </c>
    </row>
    <row r="76" ht="20" customHeight="1">
      <c r="A76" s="9" t="inlineStr"/>
      <c r="B76" s="9" t="inlineStr">
        <is>
          <t>Rule / check</t>
        </is>
      </c>
      <c r="C76" s="9" t="inlineStr">
        <is>
          <t>Blocking answers (config)</t>
        </is>
      </c>
      <c r="D76" s="9" t="inlineStr">
        <is>
          <t>Your answer</t>
        </is>
      </c>
      <c r="E76" s="9" t="inlineStr">
        <is>
          <t>Fires?</t>
        </is>
      </c>
      <c r="F76" s="9" t="inlineStr"/>
    </row>
    <row r="77" ht="16" customHeight="1">
      <c r="A77" s="10" t="n"/>
      <c r="B77" s="11" t="inlineStr">
        <is>
          <t>Appetite 5%/-3% OR income Up to 10K</t>
        </is>
      </c>
      <c r="C77" s="23" t="inlineStr">
        <is>
          <t>RiskAppetite=Plus5ToMinus3Percent; AnnualIncome=UpTo10K</t>
        </is>
      </c>
      <c r="D77" s="10" t="n"/>
      <c r="E77" s="16">
        <f>IF(OR(OR(C6="5% / -3%"),OR(C7="Up to 10K")),"YES","no")</f>
        <v/>
      </c>
      <c r="F77" s="13" t="inlineStr">
        <is>
          <t>KnockOut</t>
        </is>
      </c>
    </row>
    <row r="78">
      <c r="B78" s="19" t="inlineStr">
        <is>
          <t>ERS (elevated-risk securities): result</t>
        </is>
      </c>
      <c r="C78" s="10" t="n"/>
      <c r="D78" s="10" t="n"/>
      <c r="E78" s="24">
        <f>IF(OR(OR(C6="5% / -3%"),OR(C7="Up to 10K")),"BLOCKED","Not blocked")</f>
        <v/>
      </c>
      <c r="F78" s="10" t="n"/>
    </row>
    <row r="80">
      <c r="B80" s="2" t="inlineStr">
        <is>
          <t>Crypto - UK overlay (country 218)</t>
        </is>
      </c>
      <c r="F80" s="8" t="inlineStr">
        <is>
          <t>DefaultResult: Blocked</t>
        </is>
      </c>
    </row>
    <row r="81">
      <c r="B81" s="14" t="inlineStr">
        <is>
          <t>FCA (UK) only. Fail-closed; both rules must pass to unblock. Binds for a country-218 (GB) user under FCA.</t>
        </is>
      </c>
    </row>
    <row r="82" ht="20" customHeight="1">
      <c r="A82" s="9" t="inlineStr"/>
      <c r="B82" s="9" t="inlineStr">
        <is>
          <t>Rule / check</t>
        </is>
      </c>
      <c r="C82" s="9" t="inlineStr">
        <is>
          <t>Blocking answers (config)</t>
        </is>
      </c>
      <c r="D82" s="9" t="inlineStr">
        <is>
          <t>Your answer</t>
        </is>
      </c>
      <c r="E82" s="9" t="inlineStr">
        <is>
          <t>Fires?</t>
        </is>
      </c>
      <c r="F82" s="9" t="inlineStr"/>
    </row>
    <row r="83" ht="16" customHeight="1">
      <c r="A83" s="10" t="n"/>
      <c r="B83" s="11" t="inlineStr">
        <is>
          <t>Crypto-knowledge answers correct &gt;= 5</t>
        </is>
      </c>
      <c r="C83" s="23" t="inlineStr">
        <is>
          <t>MinTotalScore 5</t>
        </is>
      </c>
      <c r="D83" s="21">
        <f>C46</f>
        <v/>
      </c>
      <c r="E83" s="16">
        <f>IF(C46&gt;=5,"YES","no")</f>
        <v/>
      </c>
      <c r="F83" s="13" t="inlineStr">
        <is>
          <t>CryptoKnowledgeAssessment</t>
        </is>
      </c>
    </row>
    <row r="84" ht="16" customHeight="1">
      <c r="A84" s="10" t="n"/>
      <c r="B84" s="11" t="inlineStr">
        <is>
          <t>HNW = Yes AND Sophisticated = Yes</t>
        </is>
      </c>
      <c r="C84" s="23" t="inlineStr">
        <is>
          <t>IConfirmExposeHighNetWorthInvestor=Yes; IConfirmExposeSophisticatedInvestor=Yes</t>
        </is>
      </c>
      <c r="D84" s="10" t="n"/>
      <c r="E84" s="16">
        <f>IF(AND(C47="Yes",C48="Yes"),"YES","no")</f>
        <v/>
      </c>
      <c r="F84" s="13" t="inlineStr">
        <is>
          <t>ClassificationQuestionnaire</t>
        </is>
      </c>
    </row>
    <row r="85">
      <c r="B85" s="19" t="inlineStr">
        <is>
          <t>Crypto - UK overlay (country 218): result</t>
        </is>
      </c>
      <c r="C85" s="10" t="n"/>
      <c r="D85" s="10" t="n"/>
      <c r="E85" s="24">
        <f>IF(NOT(AND(C46&gt;=5,C47="Yes",C48="Yes")),"BLOCKED","Not blocked")</f>
        <v/>
      </c>
      <c r="F85" s="10" t="n"/>
    </row>
    <row r="86">
      <c r="B86" s="25" t="inlineStr">
        <is>
          <t>Only shown on the FCA tab - the overlay is UK-specific (country 218).</t>
        </is>
      </c>
    </row>
    <row r="87"/>
    <row r="89">
      <c r="A89" s="5" t="inlineStr">
        <is>
          <t>STEP 7</t>
        </is>
      </c>
      <c r="B89" s="5" t="inlineStr">
        <is>
          <t>Summary - Negative Market status per product</t>
        </is>
      </c>
    </row>
    <row r="90" ht="20" customHeight="1">
      <c r="A90" s="9" t="inlineStr"/>
      <c r="B90" s="9" t="inlineStr">
        <is>
          <t>Product</t>
        </is>
      </c>
      <c r="C90" s="9" t="inlineStr">
        <is>
          <t>Status</t>
        </is>
      </c>
      <c r="D90" s="9" t="inlineStr"/>
      <c r="E90" s="9" t="inlineStr"/>
      <c r="F90" s="9" t="inlineStr"/>
    </row>
    <row r="91">
      <c r="A91" s="10" t="n"/>
      <c r="B91" s="21" t="inlineStr">
        <is>
          <t>CFD</t>
        </is>
      </c>
      <c r="C91" s="26">
        <f>E62</f>
        <v/>
      </c>
      <c r="D91" s="10" t="n"/>
      <c r="E91" s="10" t="n"/>
      <c r="F91" s="10" t="n"/>
    </row>
    <row r="92">
      <c r="A92" s="10" t="n"/>
      <c r="B92" s="21" t="inlineStr">
        <is>
          <t>Experimental crypto</t>
        </is>
      </c>
      <c r="C92" s="26">
        <f>E72</f>
        <v/>
      </c>
      <c r="D92" s="10" t="n"/>
      <c r="E92" s="10" t="n"/>
      <c r="F92" s="10" t="n"/>
    </row>
    <row r="93">
      <c r="A93" s="10" t="n"/>
      <c r="B93" s="21" t="inlineStr">
        <is>
          <t>ERS (elevated-risk securities)</t>
        </is>
      </c>
      <c r="C93" s="26">
        <f>E78</f>
        <v/>
      </c>
      <c r="D93" s="10" t="n"/>
      <c r="E93" s="10" t="n"/>
      <c r="F93" s="10" t="n"/>
    </row>
    <row r="94">
      <c r="A94" s="10" t="n"/>
      <c r="B94" s="21" t="inlineStr">
        <is>
          <t>Crypto - UK overlay (country 218)</t>
        </is>
      </c>
      <c r="C94" s="26">
        <f>E85</f>
        <v/>
      </c>
      <c r="D94" s="10" t="n"/>
      <c r="E94" s="10" t="n"/>
      <c r="F94" s="10" t="n"/>
    </row>
    <row r="96">
      <c r="B96" s="14" t="inlineStr">
        <is>
          <t>This tab is Negative Market only. Suitability (copy risk score) and the Appropriateness status are separate tests with their own outcomes - use their own tools. A user can be NM-blocked on CFDs and perfectly fine to copy, or vice versa.</t>
        </is>
      </c>
    </row>
    <row r="97"/>
  </sheetData>
  <mergeCells count="15">
    <mergeCell ref="B36:F37"/>
    <mergeCell ref="A2:F2"/>
    <mergeCell ref="B75:F75"/>
    <mergeCell ref="B55:F55"/>
    <mergeCell ref="B51:F53"/>
    <mergeCell ref="B43:F45"/>
    <mergeCell ref="B29:F31"/>
    <mergeCell ref="B69:F69"/>
    <mergeCell ref="B81:F81"/>
    <mergeCell ref="B86:F87"/>
    <mergeCell ref="B16:F18"/>
    <mergeCell ref="B66:F66"/>
    <mergeCell ref="B61:F61"/>
    <mergeCell ref="B63:F64"/>
    <mergeCell ref="B96:F97"/>
  </mergeCells>
  <dataValidations count="19">
    <dataValidation sqref="C6" showDropDown="0" showInputMessage="0" showErrorMessage="0" allowBlank="0" type="list">
      <formula1>Lists!$A$2:$A$6</formula1>
    </dataValidation>
    <dataValidation sqref="C7" showDropDown="0" showInputMessage="0" showErrorMessage="0" allowBlank="0" type="list">
      <formula1>Lists!$B$2:$B$11</formula1>
    </dataValidation>
    <dataValidation sqref="C8" showDropDown="0" showInputMessage="0" showErrorMessage="0" allowBlank="0" type="list">
      <formula1>Lists!$B$2:$B$11</formula1>
    </dataValidation>
    <dataValidation sqref="C9" showDropDown="0" showInputMessage="0" showErrorMessage="0" allowBlank="0" type="list">
      <formula1>Lists!$F$2:$F$8</formula1>
    </dataValidation>
    <dataValidation sqref="C10" showDropDown="0" showInputMessage="0" showErrorMessage="0" allowBlank="0" type="list">
      <formula1>Lists!$G$2:$G$5</formula1>
    </dataValidation>
    <dataValidation sqref="C11" showDropDown="0" showInputMessage="0" showErrorMessage="0" allowBlank="0" type="list">
      <formula1>Lists!$D$2:$D$3</formula1>
    </dataValidation>
    <dataValidation sqref="C12" showDropDown="0" showInputMessage="0" showErrorMessage="0" allowBlank="0" type="list">
      <formula1>Lists!$D$2:$D$3</formula1>
    </dataValidation>
    <dataValidation sqref="C13" showDropDown="0" showInputMessage="0" showErrorMessage="0" allowBlank="0" type="list">
      <formula1>Lists!$E$2:$E$5</formula1>
    </dataValidation>
    <dataValidation sqref="C20" showDropDown="0" showInputMessage="0" showErrorMessage="0" allowBlank="0" type="list">
      <formula1>Lists!$H$2:$H$3</formula1>
    </dataValidation>
    <dataValidation sqref="C21" showDropDown="0" showInputMessage="0" showErrorMessage="0" allowBlank="0" type="list">
      <formula1>Lists!$H$2:$H$3</formula1>
    </dataValidation>
    <dataValidation sqref="C22" showDropDown="0" showInputMessage="0" showErrorMessage="0" allowBlank="0" type="list">
      <formula1>Lists!$H$2:$H$3</formula1>
    </dataValidation>
    <dataValidation sqref="C23" showDropDown="0" showInputMessage="0" showErrorMessage="0" allowBlank="0" type="list">
      <formula1>Lists!$H$2:$H$3</formula1>
    </dataValidation>
    <dataValidation sqref="C24" showDropDown="0" showInputMessage="0" showErrorMessage="0" allowBlank="0" type="list">
      <formula1>Lists!$H$2:$H$3</formula1>
    </dataValidation>
    <dataValidation sqref="C25" showDropDown="0" showInputMessage="0" showErrorMessage="0" allowBlank="0" type="list">
      <formula1>Lists!$H$2:$H$3</formula1>
    </dataValidation>
    <dataValidation sqref="C32" showDropDown="0" showInputMessage="0" showErrorMessage="0" allowBlank="0" type="list">
      <formula1>Lists!$I$2:$I$7</formula1>
    </dataValidation>
    <dataValidation sqref="C33" showDropDown="0" showInputMessage="0" showErrorMessage="0" allowBlank="0" type="list">
      <formula1>Lists!$I$2:$I$7</formula1>
    </dataValidation>
    <dataValidation sqref="C46" showDropDown="0" showInputMessage="0" showErrorMessage="0" allowBlank="0" type="list">
      <formula1>Lists!$I$2:$I$7</formula1>
    </dataValidation>
    <dataValidation sqref="C47" showDropDown="0" showInputMessage="0" showErrorMessage="0" allowBlank="0" type="list">
      <formula1>Lists!$H$2:$H$3</formula1>
    </dataValidation>
    <dataValidation sqref="C48" showDropDown="0" showInputMessage="0" showErrorMessage="0" allowBlank="0" type="list">
      <formula1>Lists!$H$2:$H$3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showGridLines="0" workbookViewId="0">
      <pane ySplit="3" topLeftCell="A4" activePane="bottomLeft" state="frozen"/>
      <selection pane="bottomLeft" activeCell="A1" sqref="A1"/>
    </sheetView>
  </sheetViews>
  <sheetFormatPr baseColWidth="8" defaultRowHeight="15"/>
  <cols>
    <col width="3" customWidth="1" min="1" max="1"/>
    <col width="44" customWidth="1" min="2" max="2"/>
    <col width="30" customWidth="1" min="3" max="3"/>
    <col width="22" customWidth="1" min="4" max="4"/>
    <col width="12" customWidth="1" min="5" max="5"/>
    <col width="30" customWidth="1" min="6" max="6"/>
  </cols>
  <sheetData>
    <row r="1">
      <c r="A1" s="7" t="inlineStr">
        <is>
          <t>Negative Market - ASIC</t>
        </is>
      </c>
    </row>
    <row r="2">
      <c r="A2" s="8" t="inlineStr">
        <is>
          <t>Models ASIC-9, the live configuration for ASIC. Answer the yellow cells; every product knockout below is computed from them. This is Negative Market only - not the copy suitability score, not appropriateness.</t>
        </is>
      </c>
    </row>
    <row r="4">
      <c r="A4" s="5" t="inlineStr">
        <is>
          <t>STEP 1</t>
        </is>
      </c>
      <c r="B4" s="5" t="inlineStr">
        <is>
          <t>KYC answers</t>
        </is>
      </c>
    </row>
    <row r="5" ht="20" customHeight="1">
      <c r="A5" s="9" t="inlineStr"/>
      <c r="B5" s="9" t="inlineStr">
        <is>
          <t>Question</t>
        </is>
      </c>
      <c r="C5" s="9" t="inlineStr">
        <is>
          <t>Your answer</t>
        </is>
      </c>
      <c r="D5" s="9" t="inlineStr"/>
      <c r="E5" s="9" t="inlineStr"/>
      <c r="F5" s="9" t="inlineStr">
        <is>
          <t>Config question</t>
        </is>
      </c>
    </row>
    <row r="6">
      <c r="A6" s="10" t="n"/>
      <c r="B6" s="11" t="inlineStr">
        <is>
          <t>Q9 gain / loss appetite</t>
        </is>
      </c>
      <c r="C6" s="12" t="inlineStr">
        <is>
          <t>20% / -12%</t>
        </is>
      </c>
      <c r="D6" s="10" t="n"/>
      <c r="E6" s="10" t="n"/>
      <c r="F6" s="13" t="inlineStr">
        <is>
          <t>RiskAppetite</t>
        </is>
      </c>
    </row>
    <row r="7">
      <c r="A7" s="10" t="n"/>
      <c r="B7" s="11" t="inlineStr">
        <is>
          <t>Q10 net annual income</t>
        </is>
      </c>
      <c r="C7" s="12" t="inlineStr">
        <is>
          <t>50K - 200K</t>
        </is>
      </c>
      <c r="D7" s="10" t="n"/>
      <c r="E7" s="10" t="n"/>
      <c r="F7" s="13" t="inlineStr">
        <is>
          <t>AnnualIncome</t>
        </is>
      </c>
    </row>
    <row r="8">
      <c r="A8" s="10" t="n"/>
      <c r="B8" s="11" t="inlineStr">
        <is>
          <t>Q11 liquid assets</t>
        </is>
      </c>
      <c r="C8" s="12" t="inlineStr">
        <is>
          <t>50K - 200K</t>
        </is>
      </c>
      <c r="D8" s="10" t="n"/>
      <c r="E8" s="10" t="n"/>
      <c r="F8" s="13" t="inlineStr">
        <is>
          <t>LiquidAssets</t>
        </is>
      </c>
    </row>
    <row r="9">
      <c r="A9" s="10" t="n"/>
      <c r="B9" s="11" t="inlineStr">
        <is>
          <t>Q8 purpose of trading</t>
        </is>
      </c>
      <c r="C9" s="12" t="inlineStr">
        <is>
          <t>Additional revenues</t>
        </is>
      </c>
      <c r="D9" s="10" t="n"/>
      <c r="E9" s="10" t="n"/>
      <c r="F9" s="13" t="inlineStr">
        <is>
          <t>TradingPurpose</t>
        </is>
      </c>
    </row>
    <row r="10">
      <c r="A10" s="10" t="n"/>
      <c r="B10" s="11" t="inlineStr">
        <is>
          <t>Have you traded crypto?</t>
        </is>
      </c>
      <c r="C10" s="12" t="inlineStr">
        <is>
          <t>Traded before</t>
        </is>
      </c>
      <c r="D10" s="10" t="n"/>
      <c r="E10" s="10" t="n"/>
      <c r="F10" s="13" t="inlineStr">
        <is>
          <t>Crypto</t>
        </is>
      </c>
    </row>
    <row r="11">
      <c r="A11" s="10" t="n"/>
      <c r="B11" s="11" t="inlineStr">
        <is>
          <t>Have you traded leveraged CFDs?</t>
        </is>
      </c>
      <c r="C11" s="12" t="inlineStr">
        <is>
          <t>Traded before</t>
        </is>
      </c>
      <c r="D11" s="10" t="n"/>
      <c r="E11" s="10" t="n"/>
      <c r="F11" s="13" t="inlineStr">
        <is>
          <t>LeveragedCfd</t>
        </is>
      </c>
    </row>
    <row r="12">
      <c r="A12" s="10" t="n"/>
      <c r="B12" s="11" t="inlineStr">
        <is>
          <t>Q3 financial knowledge</t>
        </is>
      </c>
      <c r="C12" s="12" t="inlineStr">
        <is>
          <t>Trading courses</t>
        </is>
      </c>
      <c r="D12" s="10" t="n"/>
      <c r="E12" s="10" t="n"/>
      <c r="F12" s="13" t="inlineStr">
        <is>
          <t>TradingKnowledge</t>
        </is>
      </c>
    </row>
    <row r="14">
      <c r="A14" s="5" t="inlineStr">
        <is>
          <t>STEP 2</t>
        </is>
      </c>
      <c r="B14" s="5" t="inlineStr">
        <is>
          <t>Q23 knowledge assessment (feeds the experience rule)</t>
        </is>
      </c>
    </row>
    <row r="15">
      <c r="B15" s="14" t="inlineStr">
        <is>
          <t>Same six-statement group as the copy test. Tick Yes for each statement you would select. Ticking a true statement or leaving a false one alone earns +2; the opposite costs -2. On Negative Market the cutoff is a pass/fail: score of -3 or higher does NOT block. (The copy test reads the same score through four risk bands instead.)</t>
        </is>
      </c>
    </row>
    <row r="16"/>
    <row r="17"/>
    <row r="18" ht="20" customHeight="1">
      <c r="A18" s="9" t="inlineStr">
        <is>
          <t>ID</t>
        </is>
      </c>
      <c r="B18" s="9" t="inlineStr">
        <is>
          <t>Statement</t>
        </is>
      </c>
      <c r="C18" s="9" t="inlineStr">
        <is>
          <t>Selected?</t>
        </is>
      </c>
      <c r="D18" s="9" t="inlineStr">
        <is>
          <t>Weight</t>
        </is>
      </c>
      <c r="E18" s="9" t="inlineStr">
        <is>
          <t>Contribution</t>
        </is>
      </c>
      <c r="F18" s="9" t="inlineStr">
        <is>
          <t>Config name</t>
        </is>
      </c>
    </row>
    <row r="19" ht="24" customHeight="1">
      <c r="A19" s="13" t="n">
        <v>142</v>
      </c>
      <c r="B19" s="11" t="inlineStr">
        <is>
          <t>$1,000 at 20x leverage: a 5% adverse move wipes out my investment</t>
        </is>
      </c>
      <c r="C19" s="12" t="inlineStr">
        <is>
          <t>Yes</t>
        </is>
      </c>
      <c r="D19" s="15" t="inlineStr">
        <is>
          <t>+2</t>
        </is>
      </c>
      <c r="E19" s="16">
        <f>IF(C19="Yes",2,-2)</f>
        <v/>
      </c>
      <c r="F19" s="17" t="inlineStr">
        <is>
          <t>NewerLeverage</t>
        </is>
      </c>
    </row>
    <row r="20" ht="24" customHeight="1">
      <c r="A20" s="13" t="n">
        <v>144</v>
      </c>
      <c r="B20" s="11" t="inlineStr">
        <is>
          <t>If account equity falls below required margin, a margin call liquidates positions</t>
        </is>
      </c>
      <c r="C20" s="12" t="inlineStr">
        <is>
          <t>No</t>
        </is>
      </c>
      <c r="D20" s="15" t="inlineStr">
        <is>
          <t>+2</t>
        </is>
      </c>
      <c r="E20" s="16">
        <f>IF(C20="Yes",2,-2)</f>
        <v/>
      </c>
      <c r="F20" s="17" t="inlineStr">
        <is>
          <t>NewerMarginCall</t>
        </is>
      </c>
    </row>
    <row r="21" ht="24" customHeight="1">
      <c r="A21" s="13" t="n">
        <v>143</v>
      </c>
      <c r="B21" s="11" t="inlineStr">
        <is>
          <t>If Google rises on NASDAQ, my Google CFD goes down</t>
        </is>
      </c>
      <c r="C21" s="12" t="inlineStr">
        <is>
          <t>Yes</t>
        </is>
      </c>
      <c r="D21" s="15" t="inlineStr">
        <is>
          <t>-2</t>
        </is>
      </c>
      <c r="E21" s="16">
        <f>IF(C21="Yes",-2,2)</f>
        <v/>
      </c>
      <c r="F21" s="17" t="inlineStr">
        <is>
          <t>NewerCfd</t>
        </is>
      </c>
    </row>
    <row r="22" ht="24" customHeight="1">
      <c r="A22" s="13" t="n">
        <v>145</v>
      </c>
      <c r="B22" s="11" t="inlineStr">
        <is>
          <t>My positions stay open even when a stop loss is triggered</t>
        </is>
      </c>
      <c r="C22" s="12" t="inlineStr">
        <is>
          <t>No</t>
        </is>
      </c>
      <c r="D22" s="15" t="inlineStr">
        <is>
          <t>-2</t>
        </is>
      </c>
      <c r="E22" s="16">
        <f>IF(C22="Yes",-2,2)</f>
        <v/>
      </c>
      <c r="F22" s="17" t="inlineStr">
        <is>
          <t>NewerStopLossTrigger</t>
        </is>
      </c>
    </row>
    <row r="23" ht="24" customHeight="1">
      <c r="A23" s="13" t="n">
        <v>146</v>
      </c>
      <c r="B23" s="11" t="inlineStr">
        <is>
          <t>If the market gaps through my stop loss, it closes at the exact stop level</t>
        </is>
      </c>
      <c r="C23" s="12" t="inlineStr">
        <is>
          <t>No</t>
        </is>
      </c>
      <c r="D23" s="15" t="inlineStr">
        <is>
          <t>-2</t>
        </is>
      </c>
      <c r="E23" s="16">
        <f>IF(C23="Yes",-2,2)</f>
        <v/>
      </c>
      <c r="F23" s="17" t="inlineStr">
        <is>
          <t>NewerStopLossGapThrough</t>
        </is>
      </c>
    </row>
    <row r="24" ht="24" customHeight="1">
      <c r="A24" s="13" t="n">
        <v>212</v>
      </c>
      <c r="B24" s="11" t="inlineStr">
        <is>
          <t>I can sell my OTC complex products (CFD, TRS) outside eToro  [RETIRED - no longer asked]</t>
        </is>
      </c>
      <c r="C24" s="18" t="inlineStr">
        <is>
          <t>No</t>
        </is>
      </c>
      <c r="D24" s="15" t="inlineStr">
        <is>
          <t>-2</t>
        </is>
      </c>
      <c r="E24" s="16">
        <f>IF(C24="Yes",-2,2)</f>
        <v/>
      </c>
      <c r="F24" s="17" t="inlineStr">
        <is>
          <t>NewerCfdTrs</t>
        </is>
      </c>
    </row>
    <row r="25">
      <c r="A25" s="10" t="n"/>
      <c r="B25" s="19" t="inlineStr">
        <is>
          <t>Assessment total score</t>
        </is>
      </c>
      <c r="C25" s="10" t="n"/>
      <c r="D25" s="10" t="n"/>
      <c r="E25" s="20">
        <f>SUM(E19:E24)</f>
        <v/>
      </c>
      <c r="F25" s="13">
        <f>IF(E25&gt;=-3,"pass (&gt;= -3)","FAIL (&lt; -3)")</f>
        <v/>
      </c>
    </row>
    <row r="27">
      <c r="A27" s="5" t="inlineStr">
        <is>
          <t>STEP 3</t>
        </is>
      </c>
      <c r="B27" s="5" t="inlineStr">
        <is>
          <t>Auto-release (experience rule only)</t>
        </is>
      </c>
    </row>
    <row r="28">
      <c r="B28" s="14" t="inlineStr">
        <is>
          <t>The experience knockout auto-releases 30 days after first deposit once the user has 5 closed trades. This needs trading data the profile store does not hold, so it is an explicit input here rather than something the sheet can derive. KnockOut rules never auto-release.</t>
        </is>
      </c>
    </row>
    <row r="29"/>
    <row r="30">
      <c r="A30" s="10" t="n"/>
      <c r="B30" s="21" t="inlineStr">
        <is>
          <t>Days since first-time deposit</t>
        </is>
      </c>
      <c r="C30" s="22" t="n">
        <v>0</v>
      </c>
      <c r="D30" s="10" t="n"/>
      <c r="E30" s="10" t="n"/>
      <c r="F30" s="10" t="n"/>
    </row>
    <row r="31">
      <c r="A31" s="10" t="n"/>
      <c r="B31" s="21" t="inlineStr">
        <is>
          <t>Closed trades since FTD</t>
        </is>
      </c>
      <c r="C31" s="22" t="n">
        <v>0</v>
      </c>
      <c r="D31" s="10" t="n"/>
      <c r="E31" s="10" t="n"/>
      <c r="F31" s="10" t="n"/>
    </row>
    <row r="32">
      <c r="A32" s="10" t="n"/>
      <c r="B32" s="21" t="inlineStr">
        <is>
          <t>Experience rule auto-released?</t>
        </is>
      </c>
      <c r="C32" s="20">
        <f>IF(AND(C30&gt;=30,C31&gt;=5),"YES","no")</f>
        <v/>
      </c>
      <c r="D32" s="10" t="n"/>
      <c r="E32" s="10" t="n"/>
      <c r="F32" s="10" t="n"/>
    </row>
    <row r="34">
      <c r="A34" s="5" t="inlineStr">
        <is>
          <t>STEP 4</t>
        </is>
      </c>
      <c r="B34" s="5" t="inlineStr">
        <is>
          <t>Product knockouts</t>
        </is>
      </c>
    </row>
    <row r="35">
      <c r="B35" s="14" t="inlineStr">
        <is>
          <t>Each product is an independent formula. A missing product simply is not gated by NM under this regulation - it is NOT an implicit 'not blocked'. Rules within a product are independent: passing or auto-releasing one does not clear another. Working model for combining rules: blocked if any still-active rule is Blocked (see Readme caveat).</t>
        </is>
      </c>
    </row>
    <row r="36"/>
    <row r="37"/>
    <row r="38">
      <c r="B38" s="2" t="inlineStr">
        <is>
          <t>CFD</t>
        </is>
      </c>
      <c r="F38" s="8" t="inlineStr">
        <is>
          <t>DefaultResult: not set</t>
        </is>
      </c>
    </row>
    <row r="39">
      <c r="B39" s="14" t="inlineStr">
        <is>
          <t>ASIC-9.json: purpose leg (saving for a home). No pension leg. Only the single lowest appetite band.</t>
        </is>
      </c>
    </row>
    <row r="40" ht="20" customHeight="1">
      <c r="A40" s="9" t="inlineStr"/>
      <c r="B40" s="9" t="inlineStr">
        <is>
          <t>Rule / check</t>
        </is>
      </c>
      <c r="C40" s="9" t="inlineStr">
        <is>
          <t>Blocking answers (config)</t>
        </is>
      </c>
      <c r="D40" s="9" t="inlineStr">
        <is>
          <t>Your answer</t>
        </is>
      </c>
      <c r="E40" s="9" t="inlineStr">
        <is>
          <t>Fires?</t>
        </is>
      </c>
      <c r="F40" s="9" t="inlineStr"/>
    </row>
    <row r="41" ht="24" customHeight="1">
      <c r="A41" s="10" t="n"/>
      <c r="B41" s="11" t="inlineStr">
        <is>
          <t>Appetite 5%/-3% OR purpose Saving-for-home OR income &lt;=50K OR assets Up to 10K</t>
        </is>
      </c>
      <c r="C41" s="23" t="inlineStr">
        <is>
          <t>RiskAppetite; TradingPurpose=SavingsForHome; AnnualIncome; LiquidAssets=UpTo10K</t>
        </is>
      </c>
      <c r="D41" s="10" t="n"/>
      <c r="E41" s="16">
        <f>IF(OR(OR(C6="5% / -3%"),OR(C9="Saving for a home"),OR(C7="Up to 10K",C7="10K - 50K"),OR(C8="Up to 10K")),"YES","no")</f>
        <v/>
      </c>
      <c r="F41" s="13" t="inlineStr">
        <is>
          <t>KnockOut</t>
        </is>
      </c>
    </row>
    <row r="42" ht="24" customHeight="1">
      <c r="A42" s="10" t="n"/>
      <c r="B42" s="11" t="inlineStr">
        <is>
          <t>Never crypto AND never CFD AND no knowledge AND quiz &lt; -3</t>
        </is>
      </c>
      <c r="C42" s="23" t="inlineStr">
        <is>
          <t>flat experience</t>
        </is>
      </c>
      <c r="D42" s="10" t="n"/>
      <c r="E42" s="16">
        <f>IF(AND(AND(C10="Never traded",C11="Never traded",C12="No financial knowledge"),E25&lt;-3),"YES","no")</f>
        <v/>
      </c>
      <c r="F42" s="13" t="inlineStr">
        <is>
          <t>TradingExperience</t>
        </is>
      </c>
    </row>
    <row r="43">
      <c r="B43" s="14" t="inlineStr">
        <is>
          <t>Experience auto-release: 30 days from FTD + 5 closed trades.</t>
        </is>
      </c>
    </row>
    <row r="44">
      <c r="B44" s="19" t="inlineStr">
        <is>
          <t>CFD: result</t>
        </is>
      </c>
      <c r="C44" s="10" t="n"/>
      <c r="D44" s="10" t="n"/>
      <c r="E44" s="24">
        <f>IF(OR(OR(OR(C6="5% / -3%"),OR(C9="Saving for a home"),OR(C7="Up to 10K",C7="10K - 50K"),OR(C8="Up to 10K")),AND(AND(AND(C10="Never traded",C11="Never traded",C12="No financial knowledge"),E25&lt;-3),C32="no")),"BLOCKED","Not blocked")</f>
        <v/>
      </c>
      <c r="F44" s="10" t="n"/>
    </row>
    <row r="46">
      <c r="A46" s="5" t="inlineStr">
        <is>
          <t>STEP 5</t>
        </is>
      </c>
      <c r="B46" s="5" t="inlineStr">
        <is>
          <t>Summary - Negative Market status per product</t>
        </is>
      </c>
    </row>
    <row r="47" ht="20" customHeight="1">
      <c r="A47" s="9" t="inlineStr"/>
      <c r="B47" s="9" t="inlineStr">
        <is>
          <t>Product</t>
        </is>
      </c>
      <c r="C47" s="9" t="inlineStr">
        <is>
          <t>Status</t>
        </is>
      </c>
      <c r="D47" s="9" t="inlineStr"/>
      <c r="E47" s="9" t="inlineStr"/>
      <c r="F47" s="9" t="inlineStr"/>
    </row>
    <row r="48">
      <c r="A48" s="10" t="n"/>
      <c r="B48" s="21" t="inlineStr">
        <is>
          <t>CFD</t>
        </is>
      </c>
      <c r="C48" s="26">
        <f>E44</f>
        <v/>
      </c>
      <c r="D48" s="10" t="n"/>
      <c r="E48" s="10" t="n"/>
      <c r="F48" s="10" t="n"/>
    </row>
    <row r="50">
      <c r="B50" s="14" t="inlineStr">
        <is>
          <t>This tab is Negative Market only. Suitability (copy risk score) and the Appropriateness status are separate tests with their own outcomes - use their own tools. A user can be NM-blocked on CFDs and perfectly fine to copy, or vice versa.</t>
        </is>
      </c>
    </row>
    <row r="51"/>
  </sheetData>
  <mergeCells count="7">
    <mergeCell ref="A2:F2"/>
    <mergeCell ref="B43:F43"/>
    <mergeCell ref="B35:F37"/>
    <mergeCell ref="B39:F39"/>
    <mergeCell ref="B15:F17"/>
    <mergeCell ref="B50:F51"/>
    <mergeCell ref="B28:F29"/>
  </mergeCells>
  <dataValidations count="13">
    <dataValidation sqref="C6" showDropDown="0" showInputMessage="0" showErrorMessage="0" allowBlank="0" type="list">
      <formula1>Lists!$A$2:$A$6</formula1>
    </dataValidation>
    <dataValidation sqref="C7" showDropDown="0" showInputMessage="0" showErrorMessage="0" allowBlank="0" type="list">
      <formula1>Lists!$B$2:$B$11</formula1>
    </dataValidation>
    <dataValidation sqref="C8" showDropDown="0" showInputMessage="0" showErrorMessage="0" allowBlank="0" type="list">
      <formula1>Lists!$B$2:$B$11</formula1>
    </dataValidation>
    <dataValidation sqref="C9" showDropDown="0" showInputMessage="0" showErrorMessage="0" allowBlank="0" type="list">
      <formula1>Lists!$C$2:$C$6</formula1>
    </dataValidation>
    <dataValidation sqref="C10" showDropDown="0" showInputMessage="0" showErrorMessage="0" allowBlank="0" type="list">
      <formula1>Lists!$D$2:$D$3</formula1>
    </dataValidation>
    <dataValidation sqref="C11" showDropDown="0" showInputMessage="0" showErrorMessage="0" allowBlank="0" type="list">
      <formula1>Lists!$D$2:$D$3</formula1>
    </dataValidation>
    <dataValidation sqref="C12" showDropDown="0" showInputMessage="0" showErrorMessage="0" allowBlank="0" type="list">
      <formula1>Lists!$E$2:$E$5</formula1>
    </dataValidation>
    <dataValidation sqref="C19" showDropDown="0" showInputMessage="0" showErrorMessage="0" allowBlank="0" type="list">
      <formula1>Lists!$H$2:$H$3</formula1>
    </dataValidation>
    <dataValidation sqref="C20" showDropDown="0" showInputMessage="0" showErrorMessage="0" allowBlank="0" type="list">
      <formula1>Lists!$H$2:$H$3</formula1>
    </dataValidation>
    <dataValidation sqref="C21" showDropDown="0" showInputMessage="0" showErrorMessage="0" allowBlank="0" type="list">
      <formula1>Lists!$H$2:$H$3</formula1>
    </dataValidation>
    <dataValidation sqref="C22" showDropDown="0" showInputMessage="0" showErrorMessage="0" allowBlank="0" type="list">
      <formula1>Lists!$H$2:$H$3</formula1>
    </dataValidation>
    <dataValidation sqref="C23" showDropDown="0" showInputMessage="0" showErrorMessage="0" allowBlank="0" type="list">
      <formula1>Lists!$H$2:$H$3</formula1>
    </dataValidation>
    <dataValidation sqref="C24" showDropDown="0" showInputMessage="0" showErrorMessage="0" allowBlank="0" type="list">
      <formula1>Lists!$H$2:$H$3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3"/>
  <sheetViews>
    <sheetView showGridLines="0" workbookViewId="0">
      <pane ySplit="3" topLeftCell="A4" activePane="bottomLeft" state="frozen"/>
      <selection pane="bottomLeft" activeCell="A1" sqref="A1"/>
    </sheetView>
  </sheetViews>
  <sheetFormatPr baseColWidth="8" defaultRowHeight="15"/>
  <cols>
    <col width="3" customWidth="1" min="1" max="1"/>
    <col width="44" customWidth="1" min="2" max="2"/>
    <col width="30" customWidth="1" min="3" max="3"/>
    <col width="22" customWidth="1" min="4" max="4"/>
    <col width="12" customWidth="1" min="5" max="5"/>
    <col width="30" customWidth="1" min="6" max="6"/>
  </cols>
  <sheetData>
    <row r="1">
      <c r="A1" s="7" t="inlineStr">
        <is>
          <t>Negative Market - ASIC GAML</t>
        </is>
      </c>
    </row>
    <row r="2">
      <c r="A2" s="8" t="inlineStr">
        <is>
          <t>Models ASICGAML-15, the live configuration for ASIC GAML. Answer the yellow cells; every product knockout below is computed from them. This is Negative Market only - not the copy suitability score, not appropriateness.</t>
        </is>
      </c>
    </row>
    <row r="4">
      <c r="A4" s="5" t="inlineStr">
        <is>
          <t>STEP 1</t>
        </is>
      </c>
      <c r="B4" s="5" t="inlineStr">
        <is>
          <t>KYC answers</t>
        </is>
      </c>
    </row>
    <row r="5" ht="20" customHeight="1">
      <c r="A5" s="9" t="inlineStr"/>
      <c r="B5" s="9" t="inlineStr">
        <is>
          <t>Question</t>
        </is>
      </c>
      <c r="C5" s="9" t="inlineStr">
        <is>
          <t>Your answer</t>
        </is>
      </c>
      <c r="D5" s="9" t="inlineStr"/>
      <c r="E5" s="9" t="inlineStr"/>
      <c r="F5" s="9" t="inlineStr">
        <is>
          <t>Config question</t>
        </is>
      </c>
    </row>
    <row r="6">
      <c r="A6" s="10" t="n"/>
      <c r="B6" s="11" t="inlineStr">
        <is>
          <t>Q9 gain / loss appetite</t>
        </is>
      </c>
      <c r="C6" s="12" t="inlineStr">
        <is>
          <t>20% / -12%</t>
        </is>
      </c>
      <c r="D6" s="10" t="n"/>
      <c r="E6" s="10" t="n"/>
      <c r="F6" s="13" t="inlineStr">
        <is>
          <t>RiskAppetite</t>
        </is>
      </c>
    </row>
    <row r="7">
      <c r="A7" s="10" t="n"/>
      <c r="B7" s="11" t="inlineStr">
        <is>
          <t>Q10 net annual income</t>
        </is>
      </c>
      <c r="C7" s="12" t="inlineStr">
        <is>
          <t>50K - 200K</t>
        </is>
      </c>
      <c r="D7" s="10" t="n"/>
      <c r="E7" s="10" t="n"/>
      <c r="F7" s="13" t="inlineStr">
        <is>
          <t>AnnualIncome</t>
        </is>
      </c>
    </row>
    <row r="8">
      <c r="A8" s="10" t="n"/>
      <c r="B8" s="11" t="inlineStr">
        <is>
          <t>Q11 liquid assets</t>
        </is>
      </c>
      <c r="C8" s="12" t="inlineStr">
        <is>
          <t>50K - 200K</t>
        </is>
      </c>
      <c r="D8" s="10" t="n"/>
      <c r="E8" s="10" t="n"/>
      <c r="F8" s="13" t="inlineStr">
        <is>
          <t>LiquidAssets</t>
        </is>
      </c>
    </row>
    <row r="9">
      <c r="A9" s="10" t="n"/>
      <c r="B9" s="11" t="inlineStr">
        <is>
          <t>Q15 source of income</t>
        </is>
      </c>
      <c r="C9" s="12" t="inlineStr">
        <is>
          <t>Salary</t>
        </is>
      </c>
      <c r="D9" s="10" t="n"/>
      <c r="E9" s="10" t="n"/>
      <c r="F9" s="13" t="inlineStr">
        <is>
          <t>IncomeSource</t>
        </is>
      </c>
    </row>
    <row r="10">
      <c r="A10" s="10" t="n"/>
      <c r="B10" s="11" t="inlineStr">
        <is>
          <t>Have you traded crypto?</t>
        </is>
      </c>
      <c r="C10" s="12" t="inlineStr">
        <is>
          <t>Traded before</t>
        </is>
      </c>
      <c r="D10" s="10" t="n"/>
      <c r="E10" s="10" t="n"/>
      <c r="F10" s="13" t="inlineStr">
        <is>
          <t>Crypto</t>
        </is>
      </c>
    </row>
    <row r="11">
      <c r="A11" s="10" t="n"/>
      <c r="B11" s="11" t="inlineStr">
        <is>
          <t>Have you traded leveraged CFDs?</t>
        </is>
      </c>
      <c r="C11" s="12" t="inlineStr">
        <is>
          <t>Traded before</t>
        </is>
      </c>
      <c r="D11" s="10" t="n"/>
      <c r="E11" s="10" t="n"/>
      <c r="F11" s="13" t="inlineStr">
        <is>
          <t>LeveragedCfd</t>
        </is>
      </c>
    </row>
    <row r="12">
      <c r="A12" s="10" t="n"/>
      <c r="B12" s="11" t="inlineStr">
        <is>
          <t>Q3 financial knowledge</t>
        </is>
      </c>
      <c r="C12" s="12" t="inlineStr">
        <is>
          <t>Trading courses</t>
        </is>
      </c>
      <c r="D12" s="10" t="n"/>
      <c r="E12" s="10" t="n"/>
      <c r="F12" s="13" t="inlineStr">
        <is>
          <t>TradingKnowledge</t>
        </is>
      </c>
    </row>
    <row r="14">
      <c r="A14" s="5" t="inlineStr">
        <is>
          <t>STEP 2</t>
        </is>
      </c>
      <c r="B14" s="5" t="inlineStr">
        <is>
          <t>Q23 knowledge assessment (feeds the experience rule)</t>
        </is>
      </c>
    </row>
    <row r="15">
      <c r="B15" s="14" t="inlineStr">
        <is>
          <t>Same six-statement group as the copy test. Tick Yes for each statement you would select. Ticking a true statement or leaving a false one alone earns +2; the opposite costs -2. On Negative Market the cutoff is a pass/fail: score of -3 or higher does NOT block. (The copy test reads the same score through four risk bands instead.)</t>
        </is>
      </c>
    </row>
    <row r="16"/>
    <row r="17"/>
    <row r="18" ht="20" customHeight="1">
      <c r="A18" s="9" t="inlineStr">
        <is>
          <t>ID</t>
        </is>
      </c>
      <c r="B18" s="9" t="inlineStr">
        <is>
          <t>Statement</t>
        </is>
      </c>
      <c r="C18" s="9" t="inlineStr">
        <is>
          <t>Selected?</t>
        </is>
      </c>
      <c r="D18" s="9" t="inlineStr">
        <is>
          <t>Weight</t>
        </is>
      </c>
      <c r="E18" s="9" t="inlineStr">
        <is>
          <t>Contribution</t>
        </is>
      </c>
      <c r="F18" s="9" t="inlineStr">
        <is>
          <t>Config name</t>
        </is>
      </c>
    </row>
    <row r="19" ht="24" customHeight="1">
      <c r="A19" s="13" t="n">
        <v>142</v>
      </c>
      <c r="B19" s="11" t="inlineStr">
        <is>
          <t>$1,000 at 20x leverage: a 5% adverse move wipes out my investment</t>
        </is>
      </c>
      <c r="C19" s="12" t="inlineStr">
        <is>
          <t>Yes</t>
        </is>
      </c>
      <c r="D19" s="15" t="inlineStr">
        <is>
          <t>+2</t>
        </is>
      </c>
      <c r="E19" s="16">
        <f>IF(C19="Yes",2,-2)</f>
        <v/>
      </c>
      <c r="F19" s="17" t="inlineStr">
        <is>
          <t>NewerLeverage</t>
        </is>
      </c>
    </row>
    <row r="20" ht="24" customHeight="1">
      <c r="A20" s="13" t="n">
        <v>144</v>
      </c>
      <c r="B20" s="11" t="inlineStr">
        <is>
          <t>If account equity falls below required margin, a margin call liquidates positions</t>
        </is>
      </c>
      <c r="C20" s="12" t="inlineStr">
        <is>
          <t>No</t>
        </is>
      </c>
      <c r="D20" s="15" t="inlineStr">
        <is>
          <t>+2</t>
        </is>
      </c>
      <c r="E20" s="16">
        <f>IF(C20="Yes",2,-2)</f>
        <v/>
      </c>
      <c r="F20" s="17" t="inlineStr">
        <is>
          <t>NewerMarginCall</t>
        </is>
      </c>
    </row>
    <row r="21" ht="24" customHeight="1">
      <c r="A21" s="13" t="n">
        <v>143</v>
      </c>
      <c r="B21" s="11" t="inlineStr">
        <is>
          <t>If Google rises on NASDAQ, my Google CFD goes down</t>
        </is>
      </c>
      <c r="C21" s="12" t="inlineStr">
        <is>
          <t>Yes</t>
        </is>
      </c>
      <c r="D21" s="15" t="inlineStr">
        <is>
          <t>-2</t>
        </is>
      </c>
      <c r="E21" s="16">
        <f>IF(C21="Yes",-2,2)</f>
        <v/>
      </c>
      <c r="F21" s="17" t="inlineStr">
        <is>
          <t>NewerCfd</t>
        </is>
      </c>
    </row>
    <row r="22" ht="24" customHeight="1">
      <c r="A22" s="13" t="n">
        <v>145</v>
      </c>
      <c r="B22" s="11" t="inlineStr">
        <is>
          <t>My positions stay open even when a stop loss is triggered</t>
        </is>
      </c>
      <c r="C22" s="12" t="inlineStr">
        <is>
          <t>No</t>
        </is>
      </c>
      <c r="D22" s="15" t="inlineStr">
        <is>
          <t>-2</t>
        </is>
      </c>
      <c r="E22" s="16">
        <f>IF(C22="Yes",-2,2)</f>
        <v/>
      </c>
      <c r="F22" s="17" t="inlineStr">
        <is>
          <t>NewerStopLossTrigger</t>
        </is>
      </c>
    </row>
    <row r="23" ht="24" customHeight="1">
      <c r="A23" s="13" t="n">
        <v>146</v>
      </c>
      <c r="B23" s="11" t="inlineStr">
        <is>
          <t>If the market gaps through my stop loss, it closes at the exact stop level</t>
        </is>
      </c>
      <c r="C23" s="12" t="inlineStr">
        <is>
          <t>No</t>
        </is>
      </c>
      <c r="D23" s="15" t="inlineStr">
        <is>
          <t>-2</t>
        </is>
      </c>
      <c r="E23" s="16">
        <f>IF(C23="Yes",-2,2)</f>
        <v/>
      </c>
      <c r="F23" s="17" t="inlineStr">
        <is>
          <t>NewerStopLossGapThrough</t>
        </is>
      </c>
    </row>
    <row r="24" ht="24" customHeight="1">
      <c r="A24" s="13" t="n">
        <v>212</v>
      </c>
      <c r="B24" s="11" t="inlineStr">
        <is>
          <t>I can sell my OTC complex products (CFD, TRS) outside eToro  [RETIRED - no longer asked]</t>
        </is>
      </c>
      <c r="C24" s="18" t="inlineStr">
        <is>
          <t>No</t>
        </is>
      </c>
      <c r="D24" s="15" t="inlineStr">
        <is>
          <t>-2</t>
        </is>
      </c>
      <c r="E24" s="16">
        <f>IF(C24="Yes",-2,2)</f>
        <v/>
      </c>
      <c r="F24" s="17" t="inlineStr">
        <is>
          <t>NewerCfdTrs</t>
        </is>
      </c>
    </row>
    <row r="25">
      <c r="A25" s="10" t="n"/>
      <c r="B25" s="19" t="inlineStr">
        <is>
          <t>Assessment total score</t>
        </is>
      </c>
      <c r="C25" s="10" t="n"/>
      <c r="D25" s="10" t="n"/>
      <c r="E25" s="20">
        <f>SUM(E19:E24)</f>
        <v/>
      </c>
      <c r="F25" s="13">
        <f>IF(E25&gt;=-3,"pass (&gt;= -3)","FAIL (&lt; -3)")</f>
        <v/>
      </c>
    </row>
    <row r="27">
      <c r="A27" s="5" t="inlineStr">
        <is>
          <t>STEP 3</t>
        </is>
      </c>
      <c r="B27" s="5" t="inlineStr">
        <is>
          <t>Auto-release (experience rule only)</t>
        </is>
      </c>
    </row>
    <row r="28">
      <c r="B28" s="14" t="inlineStr">
        <is>
          <t>The experience knockout auto-releases 30 days after first deposit once the user has 5 closed trades. This needs trading data the profile store does not hold, so it is an explicit input here rather than something the sheet can derive. KnockOut rules never auto-release.</t>
        </is>
      </c>
    </row>
    <row r="29"/>
    <row r="30">
      <c r="A30" s="10" t="n"/>
      <c r="B30" s="21" t="inlineStr">
        <is>
          <t>Days since first-time deposit</t>
        </is>
      </c>
      <c r="C30" s="22" t="n">
        <v>0</v>
      </c>
      <c r="D30" s="10" t="n"/>
      <c r="E30" s="10" t="n"/>
      <c r="F30" s="10" t="n"/>
    </row>
    <row r="31">
      <c r="A31" s="10" t="n"/>
      <c r="B31" s="21" t="inlineStr">
        <is>
          <t>Closed trades since FTD</t>
        </is>
      </c>
      <c r="C31" s="22" t="n">
        <v>0</v>
      </c>
      <c r="D31" s="10" t="n"/>
      <c r="E31" s="10" t="n"/>
      <c r="F31" s="10" t="n"/>
    </row>
    <row r="32">
      <c r="A32" s="10" t="n"/>
      <c r="B32" s="21" t="inlineStr">
        <is>
          <t>Experience rule auto-released?</t>
        </is>
      </c>
      <c r="C32" s="20">
        <f>IF(AND(C30&gt;=30,C31&gt;=5),"YES","no")</f>
        <v/>
      </c>
      <c r="D32" s="10" t="n"/>
      <c r="E32" s="10" t="n"/>
      <c r="F32" s="10" t="n"/>
    </row>
    <row r="34">
      <c r="A34" s="5" t="inlineStr">
        <is>
          <t>STEP 4</t>
        </is>
      </c>
      <c r="B34" s="5" t="inlineStr">
        <is>
          <t>CFD &amp; Futures knockout questions (Typeform)</t>
        </is>
      </c>
    </row>
    <row r="35">
      <c r="B35" s="14" t="inlineStr">
        <is>
          <t>Source of truth: the 'Typeform' sheet of the ASIC GAML 'Futures Suitability Test' workbook. One question = one row. 'Application' shows which product each question gates. Any answer marked KNOCK OUT blocks the product; a fresh sheet opens Not blocked. Retaking the test has a 30-day cooling period.</t>
        </is>
      </c>
    </row>
    <row r="36"/>
    <row r="37"/>
    <row r="38">
      <c r="A38" s="10" t="n"/>
      <c r="B38" s="11" t="inlineStr">
        <is>
          <t>Q1 Leverage can increase losses as well as gains</t>
        </is>
      </c>
      <c r="C38" s="12" t="inlineStr">
        <is>
          <t>Yes</t>
        </is>
      </c>
      <c r="D38" s="10" t="n"/>
      <c r="E38" s="10" t="n"/>
      <c r="F38" s="13" t="inlineStr">
        <is>
          <t>CFDs &amp; Futures - KO on a red answer</t>
        </is>
      </c>
    </row>
    <row r="39">
      <c r="A39" s="10" t="n"/>
      <c r="B39" s="11" t="inlineStr">
        <is>
          <t>Q2 Can you lose the entire amount invested in your leveraged products (eg Futures or CFDs) portfolio?</t>
        </is>
      </c>
      <c r="C39" s="12" t="inlineStr">
        <is>
          <t>Yes</t>
        </is>
      </c>
      <c r="D39" s="10" t="n"/>
      <c r="E39" s="10" t="n"/>
      <c r="F39" s="13" t="inlineStr">
        <is>
          <t>CFDs &amp; Futures - KO on a red answer</t>
        </is>
      </c>
    </row>
    <row r="40">
      <c r="A40" s="10" t="n"/>
      <c r="B40" s="11" t="inlineStr">
        <is>
          <t>Q3 Would you be subject to emotional distress if your leveraged products portfolio declines in value by 25% in a short period?</t>
        </is>
      </c>
      <c r="C40" s="12" t="inlineStr">
        <is>
          <t>No</t>
        </is>
      </c>
      <c r="D40" s="10" t="n"/>
      <c r="E40" s="10" t="n"/>
      <c r="F40" s="13" t="inlineStr">
        <is>
          <t>CFDs &amp; Futures - KO on a red answer</t>
        </is>
      </c>
    </row>
    <row r="41">
      <c r="A41" s="10" t="n"/>
      <c r="B41" s="11" t="inlineStr">
        <is>
          <t>Q4 If you were to lose your entire amount invested in leveraged products, would you be subject to material hardship?</t>
        </is>
      </c>
      <c r="C41" s="12" t="inlineStr">
        <is>
          <t>No</t>
        </is>
      </c>
      <c r="D41" s="10" t="n"/>
      <c r="E41" s="10" t="n"/>
      <c r="F41" s="13" t="inlineStr">
        <is>
          <t>CFDs &amp; Futures - KO on a red answer</t>
        </is>
      </c>
    </row>
    <row r="42">
      <c r="A42" s="10" t="n"/>
      <c r="B42" s="11" t="inlineStr">
        <is>
          <t>Q5 If your leveraged products positions decline in value you may suffer a margin call. Will you be able to meet a margin call without material stress?</t>
        </is>
      </c>
      <c r="C42" s="12" t="inlineStr">
        <is>
          <t>Yes</t>
        </is>
      </c>
      <c r="D42" s="10" t="n"/>
      <c r="E42" s="10" t="n"/>
      <c r="F42" s="13" t="inlineStr">
        <is>
          <t>CFDs &amp; Futures - KO on a red answer</t>
        </is>
      </c>
    </row>
    <row r="43">
      <c r="A43" s="10" t="n"/>
      <c r="B43" s="11" t="inlineStr">
        <is>
          <t>Q6 Which best describes your purpose for wanting to trade leveraged products (eg Futures or CFDs)?</t>
        </is>
      </c>
      <c r="C43" s="12" t="inlineStr">
        <is>
          <t>To access the leverage provided</t>
        </is>
      </c>
      <c r="D43" s="10" t="n"/>
      <c r="E43" s="10" t="n"/>
      <c r="F43" s="13" t="inlineStr">
        <is>
          <t>CFDs &amp; Futures - KO on a red answer</t>
        </is>
      </c>
    </row>
    <row r="44">
      <c r="A44" s="10" t="n"/>
      <c r="B44" s="11" t="inlineStr">
        <is>
          <t>Q7 Buying a CFD gives you ownership of the underlying instrument</t>
        </is>
      </c>
      <c r="C44" s="12" t="inlineStr">
        <is>
          <t>No</t>
        </is>
      </c>
      <c r="D44" s="10" t="n"/>
      <c r="E44" s="10" t="n"/>
      <c r="F44" s="13" t="inlineStr">
        <is>
          <t>CFD only - KO on a red answer</t>
        </is>
      </c>
    </row>
    <row r="45">
      <c r="A45" s="10" t="n"/>
      <c r="B45" s="11" t="inlineStr">
        <is>
          <t>Q8 How long do you plan to keep your CFD positions open?</t>
        </is>
      </c>
      <c r="C45" s="12" t="inlineStr">
        <is>
          <t>Up to several days</t>
        </is>
      </c>
      <c r="D45" s="10" t="n"/>
      <c r="E45" s="10" t="n"/>
      <c r="F45" s="13" t="inlineStr">
        <is>
          <t>CFD only - KO on a red answer</t>
        </is>
      </c>
    </row>
    <row r="46">
      <c r="A46" s="10" t="n"/>
      <c r="B46" s="11" t="inlineStr">
        <is>
          <t>Q9 Initial margin in futures trading refers to:</t>
        </is>
      </c>
      <c r="C46" s="12" t="inlineStr">
        <is>
          <t>A security deposit required to open a position</t>
        </is>
      </c>
      <c r="D46" s="10" t="n"/>
      <c r="E46" s="10" t="n"/>
      <c r="F46" s="13" t="inlineStr">
        <is>
          <t>Futures only - KO on a red answer</t>
        </is>
      </c>
    </row>
    <row r="47">
      <c r="A47" s="10" t="n"/>
      <c r="B47" s="11" t="inlineStr">
        <is>
          <t>Q10 Futures contracts have the following timeframe:</t>
        </is>
      </c>
      <c r="C47" s="12" t="inlineStr">
        <is>
          <t>Few weeks</t>
        </is>
      </c>
      <c r="D47" s="10" t="n"/>
      <c r="E47" s="10" t="n"/>
      <c r="F47" s="13" t="inlineStr">
        <is>
          <t>Futures only - KO on a red answer</t>
        </is>
      </c>
    </row>
    <row r="48">
      <c r="A48" s="10" t="n"/>
      <c r="B48" s="11" t="inlineStr">
        <is>
          <t>Q11 Do you have the ability to monitor open positions in accordance with the position time horizon?</t>
        </is>
      </c>
      <c r="C48" s="12" t="inlineStr">
        <is>
          <t>Yes</t>
        </is>
      </c>
      <c r="D48" s="10" t="n"/>
      <c r="E48" s="10" t="n"/>
      <c r="F48" s="13" t="inlineStr">
        <is>
          <t>Futures only - KO on a red answer</t>
        </is>
      </c>
    </row>
    <row r="50">
      <c r="A50" s="5" t="inlineStr">
        <is>
          <t>STEP 5</t>
        </is>
      </c>
      <c r="B50" s="5" t="inlineStr">
        <is>
          <t>Product knockouts</t>
        </is>
      </c>
    </row>
    <row r="51">
      <c r="B51" s="14" t="inlineStr">
        <is>
          <t>Each product is an independent formula. A missing product simply is not gated by NM under this regulation - it is NOT an implicit 'not blocked'. Rules within a product are independent: passing or auto-releasing one does not clear another. Working model for combining rules: blocked if any still-active rule is Blocked (see Readme caveat).</t>
        </is>
      </c>
    </row>
    <row r="52"/>
    <row r="53"/>
    <row r="54">
      <c r="B54" s="2" t="inlineStr">
        <is>
          <t>CFD (leveraged NMF)</t>
        </is>
      </c>
      <c r="F54" s="8" t="inlineStr">
        <is>
          <t>DefaultResult: not set</t>
        </is>
      </c>
    </row>
    <row r="55">
      <c r="B55" s="14" t="inlineStr">
        <is>
          <t>Per the ASIC GAML Futures Suitability Test workbook + ASICGAML-15.json. Test A/B is the profile NMF; the Typeform rows are the CFD knockout questionnaire (one question per row). 7-day cooling on knockout retake.</t>
        </is>
      </c>
    </row>
    <row r="56" ht="20" customHeight="1">
      <c r="A56" s="9" t="inlineStr"/>
      <c r="B56" s="9" t="inlineStr">
        <is>
          <t>Rule / check</t>
        </is>
      </c>
      <c r="C56" s="9" t="inlineStr">
        <is>
          <t>Blocking answers (config)</t>
        </is>
      </c>
      <c r="D56" s="9" t="inlineStr">
        <is>
          <t>Your answer</t>
        </is>
      </c>
      <c r="E56" s="9" t="inlineStr">
        <is>
          <t>Fires?</t>
        </is>
      </c>
      <c r="F56" s="9" t="inlineStr"/>
    </row>
    <row r="57" ht="36" customHeight="1">
      <c r="A57" s="10" t="n"/>
      <c r="B57" s="11" t="inlineStr">
        <is>
          <t>Appetite 5%/-5% or 10%/-10% OR income &lt;=50K OR assets 0-10K OR source Pension (any one)</t>
        </is>
      </c>
      <c r="C57" s="23" t="inlineStr">
        <is>
          <t>RiskAppetite {two lowest}; AnnualIncome {0-10K,10-50K}; LiquidAssets 0-10K; IncomeSource=Pension</t>
        </is>
      </c>
      <c r="D57" s="10" t="n"/>
      <c r="E57" s="16">
        <f>IF(OR(OR(C6="5% / -3%",C6="10% / -6%"),OR(C7="Up to 10K",C7="10K - 50K"),OR(C8="Up to 10K"),OR(C9="Pension")),"YES","no")</f>
        <v/>
      </c>
      <c r="F57" s="13" t="inlineStr">
        <is>
          <t>Test B - KnockOut</t>
        </is>
      </c>
    </row>
    <row r="58" ht="36" customHeight="1">
      <c r="A58" s="10" t="n"/>
      <c r="B58" s="11" t="inlineStr">
        <is>
          <t>ALL of: never crypto AND never leveraged AND no knowledge AND knowledge assessment Failed (&lt; -3)</t>
        </is>
      </c>
      <c r="C58" s="23" t="inlineStr">
        <is>
          <t>Crypto=Never AND LeveragedCfd=Never AND TradingKnowledge=None AND assessment &lt; -3</t>
        </is>
      </c>
      <c r="D58" s="10" t="n"/>
      <c r="E58" s="16">
        <f>IF(AND(AND(C10="Never traded",C11="Never traded",C12="No financial knowledge"),E25&lt;-3),"YES","no")</f>
        <v/>
      </c>
      <c r="F58" s="13" t="inlineStr">
        <is>
          <t>Test A - TradingExperience</t>
        </is>
      </c>
    </row>
    <row r="59" ht="24" customHeight="1">
      <c r="A59" s="10" t="n"/>
      <c r="B59" s="11" t="inlineStr">
        <is>
          <t>Q1 Leverage can increase losses as well as gains</t>
        </is>
      </c>
      <c r="C59" s="23" t="inlineStr">
        <is>
          <t>KO: No</t>
        </is>
      </c>
      <c r="D59" s="21">
        <f>C38</f>
        <v/>
      </c>
      <c r="E59" s="16">
        <f>IF(OR(C38="No"),"YES","no")</f>
        <v/>
      </c>
      <c r="F59" s="13" t="inlineStr">
        <is>
          <t>Typeform</t>
        </is>
      </c>
    </row>
    <row r="60" ht="36" customHeight="1">
      <c r="A60" s="10" t="n"/>
      <c r="B60" s="11" t="inlineStr">
        <is>
          <t>Q2 Can you lose the entire amount invested in your leveraged products (eg Futures or CFDs) portfolio?</t>
        </is>
      </c>
      <c r="C60" s="23" t="inlineStr">
        <is>
          <t>KO: No</t>
        </is>
      </c>
      <c r="D60" s="21">
        <f>C39</f>
        <v/>
      </c>
      <c r="E60" s="16">
        <f>IF(OR(C39="No"),"YES","no")</f>
        <v/>
      </c>
      <c r="F60" s="13" t="inlineStr">
        <is>
          <t>Typeform</t>
        </is>
      </c>
    </row>
    <row r="61" ht="48" customHeight="1">
      <c r="A61" s="10" t="n"/>
      <c r="B61" s="11" t="inlineStr">
        <is>
          <t>Q3 Would you be subject to emotional distress if your leveraged products portfolio declines in value by 25% in a short period?</t>
        </is>
      </c>
      <c r="C61" s="23" t="inlineStr">
        <is>
          <t>KO: Yes</t>
        </is>
      </c>
      <c r="D61" s="21">
        <f>C40</f>
        <v/>
      </c>
      <c r="E61" s="16">
        <f>IF(OR(C40="Yes"),"YES","no")</f>
        <v/>
      </c>
      <c r="F61" s="13" t="inlineStr">
        <is>
          <t>Typeform</t>
        </is>
      </c>
    </row>
    <row r="62" ht="36" customHeight="1">
      <c r="A62" s="10" t="n"/>
      <c r="B62" s="11" t="inlineStr">
        <is>
          <t>Q4 If you were to lose your entire amount invested in leveraged products, would you be subject to material hardship?</t>
        </is>
      </c>
      <c r="C62" s="23" t="inlineStr">
        <is>
          <t>KO: Yes</t>
        </is>
      </c>
      <c r="D62" s="21">
        <f>C41</f>
        <v/>
      </c>
      <c r="E62" s="16">
        <f>IF(OR(C41="Yes"),"YES","no")</f>
        <v/>
      </c>
      <c r="F62" s="13" t="inlineStr">
        <is>
          <t>Typeform</t>
        </is>
      </c>
    </row>
    <row r="63" ht="48" customHeight="1">
      <c r="A63" s="10" t="n"/>
      <c r="B63" s="11" t="inlineStr">
        <is>
          <t>Q5 If your leveraged products positions decline in value you may suffer a margin call. Will you be able to meet a margin call without material stress?</t>
        </is>
      </c>
      <c r="C63" s="23" t="inlineStr">
        <is>
          <t>KO: No</t>
        </is>
      </c>
      <c r="D63" s="21">
        <f>C42</f>
        <v/>
      </c>
      <c r="E63" s="16">
        <f>IF(OR(C42="No"),"YES","no")</f>
        <v/>
      </c>
      <c r="F63" s="13" t="inlineStr">
        <is>
          <t>Typeform</t>
        </is>
      </c>
    </row>
    <row r="64" ht="36" customHeight="1">
      <c r="A64" s="10" t="n"/>
      <c r="B64" s="11" t="inlineStr">
        <is>
          <t>Q6 Which best describes your purpose for wanting to trade leveraged products (eg Futures or CFDs)?</t>
        </is>
      </c>
      <c r="C64" s="23" t="inlineStr">
        <is>
          <t>KO: Saving for a home or long term investment priorities</t>
        </is>
      </c>
      <c r="D64" s="21">
        <f>C43</f>
        <v/>
      </c>
      <c r="E64" s="16">
        <f>IF(OR(C43="Saving for a home or long term investment priorities"),"YES","no")</f>
        <v/>
      </c>
      <c r="F64" s="13" t="inlineStr">
        <is>
          <t>Typeform</t>
        </is>
      </c>
    </row>
    <row r="65" ht="24" customHeight="1">
      <c r="A65" s="10" t="n"/>
      <c r="B65" s="11" t="inlineStr">
        <is>
          <t>Q7 Buying a CFD gives you ownership of the underlying instrument</t>
        </is>
      </c>
      <c r="C65" s="23" t="inlineStr">
        <is>
          <t>KO: Yes</t>
        </is>
      </c>
      <c r="D65" s="21">
        <f>C44</f>
        <v/>
      </c>
      <c r="E65" s="16">
        <f>IF(OR(C44="Yes"),"YES","no")</f>
        <v/>
      </c>
      <c r="F65" s="13" t="inlineStr">
        <is>
          <t>Typeform</t>
        </is>
      </c>
    </row>
    <row r="66" ht="24" customHeight="1">
      <c r="A66" s="10" t="n"/>
      <c r="B66" s="11" t="inlineStr">
        <is>
          <t>Q8 How long do you plan to keep your CFD positions open?</t>
        </is>
      </c>
      <c r="C66" s="23" t="inlineStr">
        <is>
          <t>KO: Several months; More than several months/years</t>
        </is>
      </c>
      <c r="D66" s="21">
        <f>C45</f>
        <v/>
      </c>
      <c r="E66" s="16">
        <f>IF(OR(C45="Several months",C45="More than several months/years"),"YES","no")</f>
        <v/>
      </c>
      <c r="F66" s="13" t="inlineStr">
        <is>
          <t>Typeform</t>
        </is>
      </c>
    </row>
    <row r="67">
      <c r="B67" s="14" t="inlineStr">
        <is>
          <t>Experience auto-release: 30 days from FTD + 5 closed trades. KnockOut and Typeform answers do not auto-release.</t>
        </is>
      </c>
    </row>
    <row r="68">
      <c r="B68" s="19" t="inlineStr">
        <is>
          <t>CFD (leveraged NMF): result</t>
        </is>
      </c>
      <c r="C68" s="10" t="n"/>
      <c r="D68" s="10" t="n"/>
      <c r="E68" s="24">
        <f>IF(OR(OR(OR(C6="5% / -3%",C6="10% / -6%"),OR(C7="Up to 10K",C7="10K - 50K"),OR(C8="Up to 10K"),OR(C9="Pension")),AND(AND(AND(C10="Never traded",C11="Never traded",C12="No financial knowledge"),E25&lt;-3),C32="no"),OR(OR(C38="No"),OR(C39="No"),OR(C40="Yes"),OR(C41="Yes"),OR(C42="No"),OR(C43="Saving for a home or long term investment priorities"),OR(C44="Yes"),OR(C45="Several months",C45="More than several months/years"))),"BLOCKED","Not blocked")</f>
        <v/>
      </c>
      <c r="F68" s="10" t="n"/>
    </row>
    <row r="69">
      <c r="B69" s="25" t="inlineStr">
        <is>
          <t>Test A/B match the spreadsheet AND ASICGAML-15.json. The Typeform questions are the workbook's CFD knockout set; deployed config expresses these as a fail-closed CfdRiskAssessment vector.</t>
        </is>
      </c>
    </row>
    <row r="70"/>
    <row r="72">
      <c r="B72" s="2" t="inlineStr">
        <is>
          <t>Futures</t>
        </is>
      </c>
      <c r="F72" s="8" t="inlineStr">
        <is>
          <t>DefaultResult: Blocked (Stage 2 default)</t>
        </is>
      </c>
    </row>
    <row r="73">
      <c r="B73" s="14" t="inlineStr">
        <is>
          <t>Two gates: Stage 1 at onboarding (the leveraged NMF) and Stage 2 on intent to trade (the Typeform questionnaire, one question per row). Blocked if either gate blocks.</t>
        </is>
      </c>
    </row>
    <row r="74" ht="20" customHeight="1">
      <c r="A74" s="9" t="inlineStr"/>
      <c r="B74" s="9" t="inlineStr">
        <is>
          <t>Rule / check</t>
        </is>
      </c>
      <c r="C74" s="9" t="inlineStr">
        <is>
          <t>Blocking answers (config)</t>
        </is>
      </c>
      <c r="D74" s="9" t="inlineStr">
        <is>
          <t>Your answer</t>
        </is>
      </c>
      <c r="E74" s="9" t="inlineStr">
        <is>
          <t>Fires?</t>
        </is>
      </c>
      <c r="F74" s="9" t="inlineStr"/>
    </row>
    <row r="75" ht="24" customHeight="1">
      <c r="A75" s="10" t="n"/>
      <c r="B75" s="11" t="inlineStr">
        <is>
          <t>Leveraged NMF (Test A + Test B, same inputs and result as the CFD block above)</t>
        </is>
      </c>
      <c r="C75" s="23" t="inlineStr">
        <is>
          <t>see CFD (leveraged NMF)</t>
        </is>
      </c>
      <c r="D75" s="10" t="n"/>
      <c r="E75" s="16">
        <f>IF(OR(OR(OR(C6="5% / -3%",C6="10% / -6%"),OR(C7="Up to 10K",C7="10K - 50K"),OR(C8="Up to 10K"),OR(C9="Pension")),AND(AND(AND(C10="Never traded",C11="Never traded",C12="No financial knowledge"),E25&lt;-3),C32="no")),"YES","no")</f>
        <v/>
      </c>
      <c r="F75" s="13" t="inlineStr">
        <is>
          <t>Stage 1 - onboarding</t>
        </is>
      </c>
    </row>
    <row r="76" ht="24" customHeight="1">
      <c r="A76" s="10" t="n"/>
      <c r="B76" s="11" t="inlineStr">
        <is>
          <t>Q1 Leverage can increase losses as well as gains</t>
        </is>
      </c>
      <c r="C76" s="23" t="inlineStr">
        <is>
          <t>KO: No</t>
        </is>
      </c>
      <c r="D76" s="21">
        <f>C38</f>
        <v/>
      </c>
      <c r="E76" s="16">
        <f>IF(OR(C38="No"),"YES","no")</f>
        <v/>
      </c>
      <c r="F76" s="13" t="inlineStr">
        <is>
          <t>Stage 2 - Typeform</t>
        </is>
      </c>
    </row>
    <row r="77" ht="36" customHeight="1">
      <c r="A77" s="10" t="n"/>
      <c r="B77" s="11" t="inlineStr">
        <is>
          <t>Q2 Can you lose the entire amount invested in your leveraged products (eg Futures or CFDs) portfolio?</t>
        </is>
      </c>
      <c r="C77" s="23" t="inlineStr">
        <is>
          <t>KO: No</t>
        </is>
      </c>
      <c r="D77" s="21">
        <f>C39</f>
        <v/>
      </c>
      <c r="E77" s="16">
        <f>IF(OR(C39="No"),"YES","no")</f>
        <v/>
      </c>
      <c r="F77" s="13" t="inlineStr">
        <is>
          <t>Stage 2 - Typeform</t>
        </is>
      </c>
    </row>
    <row r="78" ht="48" customHeight="1">
      <c r="A78" s="10" t="n"/>
      <c r="B78" s="11" t="inlineStr">
        <is>
          <t>Q3 Would you be subject to emotional distress if your leveraged products portfolio declines in value by 25% in a short period?</t>
        </is>
      </c>
      <c r="C78" s="23" t="inlineStr">
        <is>
          <t>KO: Yes</t>
        </is>
      </c>
      <c r="D78" s="21">
        <f>C40</f>
        <v/>
      </c>
      <c r="E78" s="16">
        <f>IF(OR(C40="Yes"),"YES","no")</f>
        <v/>
      </c>
      <c r="F78" s="13" t="inlineStr">
        <is>
          <t>Stage 2 - Typeform</t>
        </is>
      </c>
    </row>
    <row r="79" ht="36" customHeight="1">
      <c r="A79" s="10" t="n"/>
      <c r="B79" s="11" t="inlineStr">
        <is>
          <t>Q4 If you were to lose your entire amount invested in leveraged products, would you be subject to material hardship?</t>
        </is>
      </c>
      <c r="C79" s="23" t="inlineStr">
        <is>
          <t>KO: Yes</t>
        </is>
      </c>
      <c r="D79" s="21">
        <f>C41</f>
        <v/>
      </c>
      <c r="E79" s="16">
        <f>IF(OR(C41="Yes"),"YES","no")</f>
        <v/>
      </c>
      <c r="F79" s="13" t="inlineStr">
        <is>
          <t>Stage 2 - Typeform</t>
        </is>
      </c>
    </row>
    <row r="80" ht="48" customHeight="1">
      <c r="A80" s="10" t="n"/>
      <c r="B80" s="11" t="inlineStr">
        <is>
          <t>Q5 If your leveraged products positions decline in value you may suffer a margin call. Will you be able to meet a margin call without material stress?</t>
        </is>
      </c>
      <c r="C80" s="23" t="inlineStr">
        <is>
          <t>KO: No</t>
        </is>
      </c>
      <c r="D80" s="21">
        <f>C42</f>
        <v/>
      </c>
      <c r="E80" s="16">
        <f>IF(OR(C42="No"),"YES","no")</f>
        <v/>
      </c>
      <c r="F80" s="13" t="inlineStr">
        <is>
          <t>Stage 2 - Typeform</t>
        </is>
      </c>
    </row>
    <row r="81" ht="36" customHeight="1">
      <c r="A81" s="10" t="n"/>
      <c r="B81" s="11" t="inlineStr">
        <is>
          <t>Q6 Which best describes your purpose for wanting to trade leveraged products (eg Futures or CFDs)?</t>
        </is>
      </c>
      <c r="C81" s="23" t="inlineStr">
        <is>
          <t>KO: Saving for a home or long term investment priorities</t>
        </is>
      </c>
      <c r="D81" s="21">
        <f>C43</f>
        <v/>
      </c>
      <c r="E81" s="16">
        <f>IF(OR(C43="Saving for a home or long term investment priorities"),"YES","no")</f>
        <v/>
      </c>
      <c r="F81" s="13" t="inlineStr">
        <is>
          <t>Stage 2 - Typeform</t>
        </is>
      </c>
    </row>
    <row r="82" ht="24" customHeight="1">
      <c r="A82" s="10" t="n"/>
      <c r="B82" s="11" t="inlineStr">
        <is>
          <t>Q9 Initial margin in futures trading refers to:</t>
        </is>
      </c>
      <c r="C82" s="23" t="inlineStr">
        <is>
          <t>KO: The total value of the contract; Daily settlement amount</t>
        </is>
      </c>
      <c r="D82" s="21">
        <f>C46</f>
        <v/>
      </c>
      <c r="E82" s="16">
        <f>IF(OR(C46="The total value of the contract",C46="Daily settlement amount"),"YES","no")</f>
        <v/>
      </c>
      <c r="F82" s="13" t="inlineStr">
        <is>
          <t>Stage 2 - Typeform</t>
        </is>
      </c>
    </row>
    <row r="83" ht="24" customHeight="1">
      <c r="A83" s="10" t="n"/>
      <c r="B83" s="11" t="inlineStr">
        <is>
          <t>Q10 Futures contracts have the following timeframe:</t>
        </is>
      </c>
      <c r="C83" s="23" t="inlineStr">
        <is>
          <t>KO: Up to several days</t>
        </is>
      </c>
      <c r="D83" s="21">
        <f>C47</f>
        <v/>
      </c>
      <c r="E83" s="16">
        <f>IF(OR(C47="Up to several days"),"YES","no")</f>
        <v/>
      </c>
      <c r="F83" s="13" t="inlineStr">
        <is>
          <t>Stage 2 - Typeform</t>
        </is>
      </c>
    </row>
    <row r="84" ht="36" customHeight="1">
      <c r="A84" s="10" t="n"/>
      <c r="B84" s="11" t="inlineStr">
        <is>
          <t>Q11 Do you have the ability to monitor open positions in accordance with the position time horizon?</t>
        </is>
      </c>
      <c r="C84" s="23" t="inlineStr">
        <is>
          <t>KO: No</t>
        </is>
      </c>
      <c r="D84" s="21">
        <f>C48</f>
        <v/>
      </c>
      <c r="E84" s="16">
        <f>IF(OR(C48="No"),"YES","no")</f>
        <v/>
      </c>
      <c r="F84" s="13" t="inlineStr">
        <is>
          <t>Stage 2 - Typeform</t>
        </is>
      </c>
    </row>
    <row r="85">
      <c r="B85" s="14" t="inlineStr">
        <is>
          <t>Stage 1 experience auto-releases at 30 days + 5 trades; Stage 2 retake has a 30-day cooling period.</t>
        </is>
      </c>
    </row>
    <row r="86">
      <c r="B86" s="19" t="inlineStr">
        <is>
          <t>Futures: result</t>
        </is>
      </c>
      <c r="C86" s="10" t="n"/>
      <c r="D86" s="10" t="n"/>
      <c r="E86" s="24">
        <f>IF(OR(OR(OR(OR(C6="5% / -3%",C6="10% / -6%"),OR(C7="Up to 10K",C7="10K - 50K"),OR(C8="Up to 10K"),OR(C9="Pension")),AND(AND(AND(C10="Never traded",C11="Never traded",C12="No financial knowledge"),E25&lt;-3),C32="no")),OR(OR(C38="No"),OR(C39="No"),OR(C40="Yes"),OR(C41="Yes"),OR(C42="No"),OR(C43="Saving for a home or long term investment priorities"),OR(C46="The total value of the contract",C46="Daily settlement amount"),OR(C47="Up to several days"),OR(C48="No"))),"BLOCKED","Not blocked")</f>
        <v/>
      </c>
      <c r="F86" s="10" t="n"/>
    </row>
    <row r="87">
      <c r="B87" s="25" t="inlineStr">
        <is>
          <t>Futures NM is not in ASICGAML-15.json - modelled from the GAML Futures Suitability Test workbook, so treat it as spec, not deployed behaviour.</t>
        </is>
      </c>
    </row>
    <row r="88"/>
    <row r="90">
      <c r="B90" s="2" t="inlineStr">
        <is>
          <t>Experimental crypto</t>
        </is>
      </c>
      <c r="F90" s="8" t="inlineStr">
        <is>
          <t>DefaultResult: NotBlocked (check)</t>
        </is>
      </c>
    </row>
    <row r="91">
      <c r="B91" s="14" t="inlineStr">
        <is>
          <t>GAML widens the appetite band here too.</t>
        </is>
      </c>
    </row>
    <row r="92" ht="20" customHeight="1">
      <c r="A92" s="9" t="inlineStr"/>
      <c r="B92" s="9" t="inlineStr">
        <is>
          <t>Rule / check</t>
        </is>
      </c>
      <c r="C92" s="9" t="inlineStr">
        <is>
          <t>Blocking answers (config)</t>
        </is>
      </c>
      <c r="D92" s="9" t="inlineStr">
        <is>
          <t>Your answer</t>
        </is>
      </c>
      <c r="E92" s="9" t="inlineStr">
        <is>
          <t>Fires?</t>
        </is>
      </c>
      <c r="F92" s="9" t="inlineStr"/>
    </row>
    <row r="93" ht="16" customHeight="1">
      <c r="A93" s="10" t="n"/>
      <c r="B93" s="11" t="inlineStr">
        <is>
          <t>Appetite 5%/-3% or 10%/-6%</t>
        </is>
      </c>
      <c r="C93" s="23" t="inlineStr">
        <is>
          <t>RiskAppetite in {Plus5ToMinus3Percent,Plus10ToMinus6Percent}</t>
        </is>
      </c>
      <c r="D93" s="10" t="n"/>
      <c r="E93" s="16">
        <f>IF(OR(OR(C6="5% / -3%",C6="10% / -6%")),"YES","no")</f>
        <v/>
      </c>
      <c r="F93" s="13" t="inlineStr">
        <is>
          <t>KnockOut</t>
        </is>
      </c>
    </row>
    <row r="94">
      <c r="B94" s="19" t="inlineStr">
        <is>
          <t>Experimental crypto: result</t>
        </is>
      </c>
      <c r="C94" s="10" t="n"/>
      <c r="D94" s="10" t="n"/>
      <c r="E94" s="24">
        <f>IF(OR(OR(C6="5% / -3%",C6="10% / -6%")),"BLOCKED","Not blocked")</f>
        <v/>
      </c>
      <c r="F94" s="10" t="n"/>
    </row>
    <row r="96">
      <c r="A96" s="5" t="inlineStr">
        <is>
          <t>STEP 6</t>
        </is>
      </c>
      <c r="B96" s="5" t="inlineStr">
        <is>
          <t>Summary - Negative Market status per product</t>
        </is>
      </c>
    </row>
    <row r="97" ht="20" customHeight="1">
      <c r="A97" s="9" t="inlineStr"/>
      <c r="B97" s="9" t="inlineStr">
        <is>
          <t>Product</t>
        </is>
      </c>
      <c r="C97" s="9" t="inlineStr">
        <is>
          <t>Status</t>
        </is>
      </c>
      <c r="D97" s="9" t="inlineStr"/>
      <c r="E97" s="9" t="inlineStr"/>
      <c r="F97" s="9" t="inlineStr"/>
    </row>
    <row r="98">
      <c r="A98" s="10" t="n"/>
      <c r="B98" s="21" t="inlineStr">
        <is>
          <t>CFD (leveraged NMF)</t>
        </is>
      </c>
      <c r="C98" s="26">
        <f>E68</f>
        <v/>
      </c>
      <c r="D98" s="10" t="n"/>
      <c r="E98" s="10" t="n"/>
      <c r="F98" s="10" t="n"/>
    </row>
    <row r="99">
      <c r="A99" s="10" t="n"/>
      <c r="B99" s="21" t="inlineStr">
        <is>
          <t>Futures</t>
        </is>
      </c>
      <c r="C99" s="26">
        <f>E86</f>
        <v/>
      </c>
      <c r="D99" s="10" t="n"/>
      <c r="E99" s="10" t="n"/>
      <c r="F99" s="10" t="n"/>
    </row>
    <row r="100">
      <c r="A100" s="10" t="n"/>
      <c r="B100" s="21" t="inlineStr">
        <is>
          <t>Experimental crypto</t>
        </is>
      </c>
      <c r="C100" s="26">
        <f>E94</f>
        <v/>
      </c>
      <c r="D100" s="10" t="n"/>
      <c r="E100" s="10" t="n"/>
      <c r="F100" s="10" t="n"/>
    </row>
    <row r="102">
      <c r="B102" s="14" t="inlineStr">
        <is>
          <t>This tab is Negative Market only. Suitability (copy risk score) and the Appropriateness status are separate tests with their own outcomes - use their own tools. A user can be NM-blocked on CFDs and perfectly fine to copy, or vice versa.</t>
        </is>
      </c>
    </row>
    <row r="103"/>
  </sheetData>
  <mergeCells count="13">
    <mergeCell ref="A2:F2"/>
    <mergeCell ref="B73:F73"/>
    <mergeCell ref="B35:F37"/>
    <mergeCell ref="B55:F55"/>
    <mergeCell ref="B51:F53"/>
    <mergeCell ref="B91:F91"/>
    <mergeCell ref="B15:F17"/>
    <mergeCell ref="B69:F70"/>
    <mergeCell ref="B28:F29"/>
    <mergeCell ref="B102:F103"/>
    <mergeCell ref="B67:F67"/>
    <mergeCell ref="B85:F85"/>
    <mergeCell ref="B87:F88"/>
  </mergeCells>
  <dataValidations count="24">
    <dataValidation sqref="C6" showDropDown="0" showInputMessage="0" showErrorMessage="0" allowBlank="0" type="list">
      <formula1>Lists!$A$2:$A$6</formula1>
    </dataValidation>
    <dataValidation sqref="C7" showDropDown="0" showInputMessage="0" showErrorMessage="0" allowBlank="0" type="list">
      <formula1>Lists!$B$2:$B$11</formula1>
    </dataValidation>
    <dataValidation sqref="C8" showDropDown="0" showInputMessage="0" showErrorMessage="0" allowBlank="0" type="list">
      <formula1>Lists!$B$2:$B$11</formula1>
    </dataValidation>
    <dataValidation sqref="C9" showDropDown="0" showInputMessage="0" showErrorMessage="0" allowBlank="0" type="list">
      <formula1>Lists!$F$2:$F$8</formula1>
    </dataValidation>
    <dataValidation sqref="C10" showDropDown="0" showInputMessage="0" showErrorMessage="0" allowBlank="0" type="list">
      <formula1>Lists!$D$2:$D$3</formula1>
    </dataValidation>
    <dataValidation sqref="C11" showDropDown="0" showInputMessage="0" showErrorMessage="0" allowBlank="0" type="list">
      <formula1>Lists!$D$2:$D$3</formula1>
    </dataValidation>
    <dataValidation sqref="C12" showDropDown="0" showInputMessage="0" showErrorMessage="0" allowBlank="0" type="list">
      <formula1>Lists!$E$2:$E$5</formula1>
    </dataValidation>
    <dataValidation sqref="C19" showDropDown="0" showInputMessage="0" showErrorMessage="0" allowBlank="0" type="list">
      <formula1>Lists!$H$2:$H$3</formula1>
    </dataValidation>
    <dataValidation sqref="C20" showDropDown="0" showInputMessage="0" showErrorMessage="0" allowBlank="0" type="list">
      <formula1>Lists!$H$2:$H$3</formula1>
    </dataValidation>
    <dataValidation sqref="C21" showDropDown="0" showInputMessage="0" showErrorMessage="0" allowBlank="0" type="list">
      <formula1>Lists!$H$2:$H$3</formula1>
    </dataValidation>
    <dataValidation sqref="C22" showDropDown="0" showInputMessage="0" showErrorMessage="0" allowBlank="0" type="list">
      <formula1>Lists!$H$2:$H$3</formula1>
    </dataValidation>
    <dataValidation sqref="C23" showDropDown="0" showInputMessage="0" showErrorMessage="0" allowBlank="0" type="list">
      <formula1>Lists!$H$2:$H$3</formula1>
    </dataValidation>
    <dataValidation sqref="C24" showDropDown="0" showInputMessage="0" showErrorMessage="0" allowBlank="0" type="list">
      <formula1>Lists!$H$2:$H$3</formula1>
    </dataValidation>
    <dataValidation sqref="C38" showDropDown="0" showInputMessage="0" showErrorMessage="0" allowBlank="0" type="list">
      <formula1>Lists!$J$2:$J$3</formula1>
    </dataValidation>
    <dataValidation sqref="C39" showDropDown="0" showInputMessage="0" showErrorMessage="0" allowBlank="0" type="list">
      <formula1>Lists!$K$2:$K$3</formula1>
    </dataValidation>
    <dataValidation sqref="C40" showDropDown="0" showInputMessage="0" showErrorMessage="0" allowBlank="0" type="list">
      <formula1>Lists!$L$2:$L$3</formula1>
    </dataValidation>
    <dataValidation sqref="C41" showDropDown="0" showInputMessage="0" showErrorMessage="0" allowBlank="0" type="list">
      <formula1>Lists!$M$2:$M$3</formula1>
    </dataValidation>
    <dataValidation sqref="C42" showDropDown="0" showInputMessage="0" showErrorMessage="0" allowBlank="0" type="list">
      <formula1>Lists!$N$2:$N$3</formula1>
    </dataValidation>
    <dataValidation sqref="C43" showDropDown="0" showInputMessage="0" showErrorMessage="0" allowBlank="0" type="list">
      <formula1>Lists!$O$2:$O$6</formula1>
    </dataValidation>
    <dataValidation sqref="C44" showDropDown="0" showInputMessage="0" showErrorMessage="0" allowBlank="0" type="list">
      <formula1>Lists!$P$2:$P$3</formula1>
    </dataValidation>
    <dataValidation sqref="C45" showDropDown="0" showInputMessage="0" showErrorMessage="0" allowBlank="0" type="list">
      <formula1>Lists!$Q$2:$Q$5</formula1>
    </dataValidation>
    <dataValidation sqref="C46" showDropDown="0" showInputMessage="0" showErrorMessage="0" allowBlank="0" type="list">
      <formula1>Lists!$R$2:$R$4</formula1>
    </dataValidation>
    <dataValidation sqref="C47" showDropDown="0" showInputMessage="0" showErrorMessage="0" allowBlank="0" type="list">
      <formula1>Lists!$S$2:$S$4</formula1>
    </dataValidation>
    <dataValidation sqref="C48" showDropDown="0" showInputMessage="0" showErrorMessage="0" allowBlank="0" type="list">
      <formula1>Lists!$T$2:$T$3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3" customWidth="1" min="1" max="1"/>
    <col width="44" customWidth="1" min="2" max="2"/>
    <col width="30" customWidth="1" min="3" max="3"/>
    <col width="22" customWidth="1" min="4" max="4"/>
    <col width="12" customWidth="1" min="5" max="5"/>
    <col width="30" customWidth="1" min="6" max="6"/>
  </cols>
  <sheetData>
    <row r="1">
      <c r="A1" s="7" t="inlineStr">
        <is>
          <t>Negative Market - FSRA</t>
        </is>
      </c>
    </row>
    <row r="2">
      <c r="A2" s="8" t="inlineStr">
        <is>
          <t>Models FSRA-10, the live configuration for FSRA. Answer the yellow cells; every product knockout below is computed from them. This is Negative Market only - not the copy suitability score, not appropriateness.</t>
        </is>
      </c>
    </row>
    <row r="4">
      <c r="A4" s="5" t="inlineStr">
        <is>
          <t>STEP 1</t>
        </is>
      </c>
      <c r="B4" s="5" t="inlineStr">
        <is>
          <t>KYC answers</t>
        </is>
      </c>
    </row>
    <row r="5" ht="20" customHeight="1">
      <c r="A5" s="9" t="inlineStr"/>
      <c r="B5" s="9" t="inlineStr">
        <is>
          <t>Question</t>
        </is>
      </c>
      <c r="C5" s="9" t="inlineStr">
        <is>
          <t>Your answer</t>
        </is>
      </c>
      <c r="D5" s="9" t="inlineStr"/>
      <c r="E5" s="9" t="inlineStr"/>
      <c r="F5" s="9" t="inlineStr">
        <is>
          <t>Config question</t>
        </is>
      </c>
    </row>
    <row r="6">
      <c r="A6" s="10" t="n"/>
      <c r="B6" s="11" t="inlineStr">
        <is>
          <t>Q9 gain / loss appetite</t>
        </is>
      </c>
      <c r="C6" s="12" t="inlineStr">
        <is>
          <t>20% / -12%</t>
        </is>
      </c>
      <c r="D6" s="10" t="n"/>
      <c r="E6" s="10" t="n"/>
      <c r="F6" s="13" t="inlineStr">
        <is>
          <t>RiskAppetite</t>
        </is>
      </c>
    </row>
    <row r="7">
      <c r="A7" s="10" t="n"/>
      <c r="B7" s="11" t="inlineStr">
        <is>
          <t>Q10 net annual income</t>
        </is>
      </c>
      <c r="C7" s="12" t="inlineStr">
        <is>
          <t>50K - 200K</t>
        </is>
      </c>
      <c r="D7" s="10" t="n"/>
      <c r="E7" s="10" t="n"/>
      <c r="F7" s="13" t="inlineStr">
        <is>
          <t>AnnualIncome</t>
        </is>
      </c>
    </row>
    <row r="8">
      <c r="A8" s="10" t="n"/>
      <c r="B8" s="11" t="inlineStr">
        <is>
          <t>Have you traded crypto?</t>
        </is>
      </c>
      <c r="C8" s="12" t="inlineStr">
        <is>
          <t>Traded before</t>
        </is>
      </c>
      <c r="D8" s="10" t="n"/>
      <c r="E8" s="10" t="n"/>
      <c r="F8" s="13" t="inlineStr">
        <is>
          <t>Crypto</t>
        </is>
      </c>
    </row>
    <row r="9">
      <c r="A9" s="10" t="n"/>
      <c r="B9" s="11" t="inlineStr">
        <is>
          <t>Have you traded leveraged CFDs?</t>
        </is>
      </c>
      <c r="C9" s="12" t="inlineStr">
        <is>
          <t>Traded before</t>
        </is>
      </c>
      <c r="D9" s="10" t="n"/>
      <c r="E9" s="10" t="n"/>
      <c r="F9" s="13" t="inlineStr">
        <is>
          <t>LeveragedCfd</t>
        </is>
      </c>
    </row>
    <row r="10">
      <c r="A10" s="10" t="n"/>
      <c r="B10" s="11" t="inlineStr">
        <is>
          <t>Q3 financial knowledge</t>
        </is>
      </c>
      <c r="C10" s="12" t="inlineStr">
        <is>
          <t>Trading courses</t>
        </is>
      </c>
      <c r="D10" s="10" t="n"/>
      <c r="E10" s="10" t="n"/>
      <c r="F10" s="13" t="inlineStr">
        <is>
          <t>TradingKnowledge</t>
        </is>
      </c>
    </row>
    <row r="12">
      <c r="A12" s="5" t="inlineStr">
        <is>
          <t>STEP 2</t>
        </is>
      </c>
      <c r="B12" s="5" t="inlineStr">
        <is>
          <t>Q23 knowledge assessment (feeds the experience rule)</t>
        </is>
      </c>
    </row>
    <row r="13">
      <c r="B13" s="14" t="inlineStr">
        <is>
          <t>Same six-statement group as the copy test. Tick Yes for each statement you would select. Ticking a true statement or leaving a false one alone earns +2; the opposite costs -2. On Negative Market the cutoff is a pass/fail: score of -3 or higher does NOT block. (The copy test reads the same score through four risk bands instead.)</t>
        </is>
      </c>
    </row>
    <row r="14"/>
    <row r="15"/>
    <row r="16" ht="20" customHeight="1">
      <c r="A16" s="9" t="inlineStr">
        <is>
          <t>ID</t>
        </is>
      </c>
      <c r="B16" s="9" t="inlineStr">
        <is>
          <t>Statement</t>
        </is>
      </c>
      <c r="C16" s="9" t="inlineStr">
        <is>
          <t>Selected?</t>
        </is>
      </c>
      <c r="D16" s="9" t="inlineStr">
        <is>
          <t>Weight</t>
        </is>
      </c>
      <c r="E16" s="9" t="inlineStr">
        <is>
          <t>Contribution</t>
        </is>
      </c>
      <c r="F16" s="9" t="inlineStr">
        <is>
          <t>Config name</t>
        </is>
      </c>
    </row>
    <row r="17" ht="24" customHeight="1">
      <c r="A17" s="13" t="n">
        <v>142</v>
      </c>
      <c r="B17" s="11" t="inlineStr">
        <is>
          <t>$1,000 at 20x leverage: a 5% adverse move wipes out my investment</t>
        </is>
      </c>
      <c r="C17" s="12" t="inlineStr">
        <is>
          <t>Yes</t>
        </is>
      </c>
      <c r="D17" s="15" t="inlineStr">
        <is>
          <t>+2</t>
        </is>
      </c>
      <c r="E17" s="16">
        <f>IF(C17="Yes",2,-2)</f>
        <v/>
      </c>
      <c r="F17" s="17" t="inlineStr">
        <is>
          <t>NewerLeverage</t>
        </is>
      </c>
    </row>
    <row r="18" ht="24" customHeight="1">
      <c r="A18" s="13" t="n">
        <v>144</v>
      </c>
      <c r="B18" s="11" t="inlineStr">
        <is>
          <t>If account equity falls below required margin, a margin call liquidates positions</t>
        </is>
      </c>
      <c r="C18" s="12" t="inlineStr">
        <is>
          <t>No</t>
        </is>
      </c>
      <c r="D18" s="15" t="inlineStr">
        <is>
          <t>+2</t>
        </is>
      </c>
      <c r="E18" s="16">
        <f>IF(C18="Yes",2,-2)</f>
        <v/>
      </c>
      <c r="F18" s="17" t="inlineStr">
        <is>
          <t>NewerMarginCall</t>
        </is>
      </c>
    </row>
    <row r="19" ht="24" customHeight="1">
      <c r="A19" s="13" t="n">
        <v>143</v>
      </c>
      <c r="B19" s="11" t="inlineStr">
        <is>
          <t>If Google rises on NASDAQ, my Google CFD goes down</t>
        </is>
      </c>
      <c r="C19" s="12" t="inlineStr">
        <is>
          <t>Yes</t>
        </is>
      </c>
      <c r="D19" s="15" t="inlineStr">
        <is>
          <t>-2</t>
        </is>
      </c>
      <c r="E19" s="16">
        <f>IF(C19="Yes",-2,2)</f>
        <v/>
      </c>
      <c r="F19" s="17" t="inlineStr">
        <is>
          <t>NewerCfd</t>
        </is>
      </c>
    </row>
    <row r="20" ht="24" customHeight="1">
      <c r="A20" s="13" t="n">
        <v>145</v>
      </c>
      <c r="B20" s="11" t="inlineStr">
        <is>
          <t>My positions stay open even when a stop loss is triggered</t>
        </is>
      </c>
      <c r="C20" s="12" t="inlineStr">
        <is>
          <t>No</t>
        </is>
      </c>
      <c r="D20" s="15" t="inlineStr">
        <is>
          <t>-2</t>
        </is>
      </c>
      <c r="E20" s="16">
        <f>IF(C20="Yes",-2,2)</f>
        <v/>
      </c>
      <c r="F20" s="17" t="inlineStr">
        <is>
          <t>NewerStopLossTrigger</t>
        </is>
      </c>
    </row>
    <row r="21" ht="24" customHeight="1">
      <c r="A21" s="13" t="n">
        <v>146</v>
      </c>
      <c r="B21" s="11" t="inlineStr">
        <is>
          <t>If the market gaps through my stop loss, it closes at the exact stop level</t>
        </is>
      </c>
      <c r="C21" s="12" t="inlineStr">
        <is>
          <t>No</t>
        </is>
      </c>
      <c r="D21" s="15" t="inlineStr">
        <is>
          <t>-2</t>
        </is>
      </c>
      <c r="E21" s="16">
        <f>IF(C21="Yes",-2,2)</f>
        <v/>
      </c>
      <c r="F21" s="17" t="inlineStr">
        <is>
          <t>NewerStopLossGapThrough</t>
        </is>
      </c>
    </row>
    <row r="22" ht="24" customHeight="1">
      <c r="A22" s="13" t="n">
        <v>212</v>
      </c>
      <c r="B22" s="11" t="inlineStr">
        <is>
          <t>I can sell my OTC complex products (CFD, TRS) outside eToro  [RETIRED - no longer asked]</t>
        </is>
      </c>
      <c r="C22" s="18" t="inlineStr">
        <is>
          <t>No</t>
        </is>
      </c>
      <c r="D22" s="15" t="inlineStr">
        <is>
          <t>-2</t>
        </is>
      </c>
      <c r="E22" s="16">
        <f>IF(C22="Yes",-2,2)</f>
        <v/>
      </c>
      <c r="F22" s="17" t="inlineStr">
        <is>
          <t>NewerCfdTrs</t>
        </is>
      </c>
    </row>
    <row r="23">
      <c r="A23" s="10" t="n"/>
      <c r="B23" s="19" t="inlineStr">
        <is>
          <t>Assessment total score</t>
        </is>
      </c>
      <c r="C23" s="10" t="n"/>
      <c r="D23" s="10" t="n"/>
      <c r="E23" s="20">
        <f>SUM(E17:E22)</f>
        <v/>
      </c>
      <c r="F23" s="13">
        <f>IF(E23&gt;=-3,"pass (&gt;= -3)","FAIL (&lt; -3)")</f>
        <v/>
      </c>
    </row>
    <row r="25">
      <c r="A25" s="5" t="inlineStr">
        <is>
          <t>STEP 3</t>
        </is>
      </c>
      <c r="B25" s="5" t="inlineStr">
        <is>
          <t>Auto-release (experience rule only)</t>
        </is>
      </c>
    </row>
    <row r="26">
      <c r="B26" s="14" t="inlineStr">
        <is>
          <t>The experience knockout auto-releases 30 days after first deposit once the user has 5 closed trades. This needs trading data the profile store does not hold, so it is an explicit input here rather than something the sheet can derive. KnockOut rules never auto-release.</t>
        </is>
      </c>
    </row>
    <row r="27"/>
    <row r="28">
      <c r="A28" s="10" t="n"/>
      <c r="B28" s="21" t="inlineStr">
        <is>
          <t>Days since first-time deposit</t>
        </is>
      </c>
      <c r="C28" s="22" t="n">
        <v>0</v>
      </c>
      <c r="D28" s="10" t="n"/>
      <c r="E28" s="10" t="n"/>
      <c r="F28" s="10" t="n"/>
    </row>
    <row r="29">
      <c r="A29" s="10" t="n"/>
      <c r="B29" s="21" t="inlineStr">
        <is>
          <t>Closed trades since FTD</t>
        </is>
      </c>
      <c r="C29" s="22" t="n">
        <v>0</v>
      </c>
      <c r="D29" s="10" t="n"/>
      <c r="E29" s="10" t="n"/>
      <c r="F29" s="10" t="n"/>
    </row>
    <row r="30">
      <c r="A30" s="10" t="n"/>
      <c r="B30" s="21" t="inlineStr">
        <is>
          <t>Experience rule auto-released?</t>
        </is>
      </c>
      <c r="C30" s="20">
        <f>IF(AND(C28&gt;=30,C29&gt;=5),"YES","no")</f>
        <v/>
      </c>
      <c r="D30" s="10" t="n"/>
      <c r="E30" s="10" t="n"/>
      <c r="F30" s="10" t="n"/>
    </row>
    <row r="32">
      <c r="A32" s="5" t="inlineStr">
        <is>
          <t>STEP 4</t>
        </is>
      </c>
      <c r="B32" s="5" t="inlineStr">
        <is>
          <t>Product knockouts</t>
        </is>
      </c>
    </row>
    <row r="33">
      <c r="B33" s="14" t="inlineStr">
        <is>
          <t>Each product is an independent formula. A missing product simply is not gated by NM under this regulation - it is NOT an implicit 'not blocked'. Rules within a product are independent: passing or auto-releasing one does not clear another. Working model for combining rules: blocked if any still-active rule is Blocked (see Readme caveat).</t>
        </is>
      </c>
    </row>
    <row r="34"/>
    <row r="35"/>
    <row r="36">
      <c r="B36" s="2" t="inlineStr">
        <is>
          <t>CFD</t>
        </is>
      </c>
      <c r="F36" s="8" t="inlineStr">
        <is>
          <t>DefaultResult: not set</t>
        </is>
      </c>
    </row>
    <row r="37">
      <c r="B37" s="14" t="inlineStr">
        <is>
          <t>Flat experience rule (no CFD questionnaires).</t>
        </is>
      </c>
    </row>
    <row r="38" ht="20" customHeight="1">
      <c r="A38" s="9" t="inlineStr"/>
      <c r="B38" s="9" t="inlineStr">
        <is>
          <t>Rule / check</t>
        </is>
      </c>
      <c r="C38" s="9" t="inlineStr">
        <is>
          <t>Blocking answers (config)</t>
        </is>
      </c>
      <c r="D38" s="9" t="inlineStr">
        <is>
          <t>Your answer</t>
        </is>
      </c>
      <c r="E38" s="9" t="inlineStr">
        <is>
          <t>Fires?</t>
        </is>
      </c>
      <c r="F38" s="9" t="inlineStr"/>
    </row>
    <row r="39" ht="16" customHeight="1">
      <c r="A39" s="10" t="n"/>
      <c r="B39" s="11" t="inlineStr">
        <is>
          <t>Appetite 5%/-3%  OR  income Up to 10K</t>
        </is>
      </c>
      <c r="C39" s="23" t="inlineStr">
        <is>
          <t>RiskAppetite=Plus5ToMinus3Percent; AnnualIncome=UpTo10K</t>
        </is>
      </c>
      <c r="D39" s="10" t="n"/>
      <c r="E39" s="16">
        <f>IF(OR(OR(C6="5% / -3%"),OR(C7="Up to 10K")),"YES","no")</f>
        <v/>
      </c>
      <c r="F39" s="13" t="inlineStr">
        <is>
          <t>KnockOut</t>
        </is>
      </c>
    </row>
    <row r="40" ht="24" customHeight="1">
      <c r="A40" s="10" t="n"/>
      <c r="B40" s="11" t="inlineStr">
        <is>
          <t>Never crypto AND never CFD AND no knowledge AND quiz &lt; -3</t>
        </is>
      </c>
      <c r="C40" s="23" t="inlineStr">
        <is>
          <t>Crypto=NeverTraded AND LeveragedCfd=NeverTraded AND TradingKnowledge=NoFinancialKnowledge AND assessment &lt; -3</t>
        </is>
      </c>
      <c r="D40" s="10" t="n"/>
      <c r="E40" s="16">
        <f>IF(AND(AND(C8="Never traded",C9="Never traded",C10="No financial knowledge"),E23&lt;-3),"YES","no")</f>
        <v/>
      </c>
      <c r="F40" s="13" t="inlineStr">
        <is>
          <t>TradingExperience</t>
        </is>
      </c>
    </row>
    <row r="41">
      <c r="B41" s="14" t="inlineStr">
        <is>
          <t>Experience auto-release: 30 days from FTD + 5 closed trades.</t>
        </is>
      </c>
    </row>
    <row r="42">
      <c r="B42" s="19" t="inlineStr">
        <is>
          <t>CFD: result</t>
        </is>
      </c>
      <c r="C42" s="10" t="n"/>
      <c r="D42" s="10" t="n"/>
      <c r="E42" s="24">
        <f>IF(OR(OR(OR(C6="5% / -3%"),OR(C7="Up to 10K")),AND(AND(AND(C8="Never traded",C9="Never traded",C10="No financial knowledge"),E23&lt;-3),C30="no")),"BLOCKED","Not blocked")</f>
        <v/>
      </c>
      <c r="F42" s="10" t="n"/>
    </row>
    <row r="44">
      <c r="B44" s="2" t="inlineStr">
        <is>
          <t>Crypto (direct trade)</t>
        </is>
      </c>
      <c r="F44" s="8" t="inlineStr">
        <is>
          <t>DefaultResult: not set</t>
        </is>
      </c>
    </row>
    <row r="45">
      <c r="B45" s="14" t="inlineStr">
        <is>
          <t>FSRA is the only snapshot with a top-level crypto NM. OnlyDirectTradeRestriction.</t>
        </is>
      </c>
    </row>
    <row r="46" ht="20" customHeight="1">
      <c r="A46" s="9" t="inlineStr"/>
      <c r="B46" s="9" t="inlineStr">
        <is>
          <t>Rule / check</t>
        </is>
      </c>
      <c r="C46" s="9" t="inlineStr">
        <is>
          <t>Blocking answers (config)</t>
        </is>
      </c>
      <c r="D46" s="9" t="inlineStr">
        <is>
          <t>Your answer</t>
        </is>
      </c>
      <c r="E46" s="9" t="inlineStr">
        <is>
          <t>Fires?</t>
        </is>
      </c>
      <c r="F46" s="9" t="inlineStr"/>
    </row>
    <row r="47" ht="16" customHeight="1">
      <c r="A47" s="10" t="n"/>
      <c r="B47" s="11" t="inlineStr">
        <is>
          <t>Appetite 5%/-3%</t>
        </is>
      </c>
      <c r="C47" s="23" t="inlineStr">
        <is>
          <t>RiskAppetite=Plus5ToMinus3Percent</t>
        </is>
      </c>
      <c r="D47" s="10" t="n"/>
      <c r="E47" s="16">
        <f>IF(OR(OR(C6="5% / -3%")),"YES","no")</f>
        <v/>
      </c>
      <c r="F47" s="13" t="inlineStr">
        <is>
          <t>KnockOut</t>
        </is>
      </c>
    </row>
    <row r="48">
      <c r="B48" s="19" t="inlineStr">
        <is>
          <t>Crypto (direct trade): result</t>
        </is>
      </c>
      <c r="C48" s="10" t="n"/>
      <c r="D48" s="10" t="n"/>
      <c r="E48" s="24">
        <f>IF(OR(OR(C6="5% / -3%")),"BLOCKED","Not blocked")</f>
        <v/>
      </c>
      <c r="F48" s="10" t="n"/>
    </row>
    <row r="50">
      <c r="A50" s="5" t="inlineStr">
        <is>
          <t>STEP 5</t>
        </is>
      </c>
      <c r="B50" s="5" t="inlineStr">
        <is>
          <t>Summary - Negative Market status per product</t>
        </is>
      </c>
    </row>
    <row r="51" ht="20" customHeight="1">
      <c r="A51" s="9" t="inlineStr"/>
      <c r="B51" s="9" t="inlineStr">
        <is>
          <t>Product</t>
        </is>
      </c>
      <c r="C51" s="9" t="inlineStr">
        <is>
          <t>Status</t>
        </is>
      </c>
      <c r="D51" s="9" t="inlineStr"/>
      <c r="E51" s="9" t="inlineStr"/>
      <c r="F51" s="9" t="inlineStr"/>
    </row>
    <row r="52">
      <c r="A52" s="10" t="n"/>
      <c r="B52" s="21" t="inlineStr">
        <is>
          <t>CFD</t>
        </is>
      </c>
      <c r="C52" s="26">
        <f>E42</f>
        <v/>
      </c>
      <c r="D52" s="10" t="n"/>
      <c r="E52" s="10" t="n"/>
      <c r="F52" s="10" t="n"/>
    </row>
    <row r="53">
      <c r="A53" s="10" t="n"/>
      <c r="B53" s="21" t="inlineStr">
        <is>
          <t>Crypto (direct trade)</t>
        </is>
      </c>
      <c r="C53" s="26">
        <f>E48</f>
        <v/>
      </c>
      <c r="D53" s="10" t="n"/>
      <c r="E53" s="10" t="n"/>
      <c r="F53" s="10" t="n"/>
    </row>
    <row r="55">
      <c r="B55" s="14" t="inlineStr">
        <is>
          <t>This tab is Negative Market only. Suitability (copy risk score) and the Appropriateness status are separate tests with their own outcomes - use their own tools. A user can be NM-blocked on CFDs and perfectly fine to copy, or vice versa.</t>
        </is>
      </c>
    </row>
    <row r="56"/>
  </sheetData>
  <mergeCells count="8">
    <mergeCell ref="A2:F2"/>
    <mergeCell ref="B13:F15"/>
    <mergeCell ref="B55:F56"/>
    <mergeCell ref="B26:F27"/>
    <mergeCell ref="B33:F35"/>
    <mergeCell ref="B37:F37"/>
    <mergeCell ref="B45:F45"/>
    <mergeCell ref="B41:F41"/>
  </mergeCells>
  <dataValidations count="11">
    <dataValidation sqref="C6" showDropDown="0" showInputMessage="0" showErrorMessage="0" allowBlank="0" type="list">
      <formula1>Lists!$A$2:$A$6</formula1>
    </dataValidation>
    <dataValidation sqref="C7" showDropDown="0" showInputMessage="0" showErrorMessage="0" allowBlank="0" type="list">
      <formula1>Lists!$B$2:$B$11</formula1>
    </dataValidation>
    <dataValidation sqref="C8" showDropDown="0" showInputMessage="0" showErrorMessage="0" allowBlank="0" type="list">
      <formula1>Lists!$D$2:$D$3</formula1>
    </dataValidation>
    <dataValidation sqref="C9" showDropDown="0" showInputMessage="0" showErrorMessage="0" allowBlank="0" type="list">
      <formula1>Lists!$D$2:$D$3</formula1>
    </dataValidation>
    <dataValidation sqref="C10" showDropDown="0" showInputMessage="0" showErrorMessage="0" allowBlank="0" type="list">
      <formula1>Lists!$E$2:$E$5</formula1>
    </dataValidation>
    <dataValidation sqref="C17" showDropDown="0" showInputMessage="0" showErrorMessage="0" allowBlank="0" type="list">
      <formula1>Lists!$H$2:$H$3</formula1>
    </dataValidation>
    <dataValidation sqref="C18" showDropDown="0" showInputMessage="0" showErrorMessage="0" allowBlank="0" type="list">
      <formula1>Lists!$H$2:$H$3</formula1>
    </dataValidation>
    <dataValidation sqref="C19" showDropDown="0" showInputMessage="0" showErrorMessage="0" allowBlank="0" type="list">
      <formula1>Lists!$H$2:$H$3</formula1>
    </dataValidation>
    <dataValidation sqref="C20" showDropDown="0" showInputMessage="0" showErrorMessage="0" allowBlank="0" type="list">
      <formula1>Lists!$H$2:$H$3</formula1>
    </dataValidation>
    <dataValidation sqref="C21" showDropDown="0" showInputMessage="0" showErrorMessage="0" allowBlank="0" type="list">
      <formula1>Lists!$H$2:$H$3</formula1>
    </dataValidation>
    <dataValidation sqref="C22" showDropDown="0" showInputMessage="0" showErrorMessage="0" allowBlank="0" type="list">
      <formula1>Lists!$H$2:$H$3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8"/>
  <sheetViews>
    <sheetView showGridLines="0" workbookViewId="0">
      <pane ySplit="3" topLeftCell="A4" activePane="bottomLeft" state="frozen"/>
      <selection pane="bottomLeft" activeCell="A1" sqref="A1"/>
    </sheetView>
  </sheetViews>
  <sheetFormatPr baseColWidth="8" defaultRowHeight="15"/>
  <cols>
    <col width="3" customWidth="1" min="1" max="1"/>
    <col width="44" customWidth="1" min="2" max="2"/>
    <col width="30" customWidth="1" min="3" max="3"/>
    <col width="22" customWidth="1" min="4" max="4"/>
    <col width="12" customWidth="1" min="5" max="5"/>
    <col width="30" customWidth="1" min="6" max="6"/>
  </cols>
  <sheetData>
    <row r="1">
      <c r="A1" s="7" t="inlineStr">
        <is>
          <t>Negative Market - MAS</t>
        </is>
      </c>
    </row>
    <row r="2">
      <c r="A2" s="8" t="inlineStr">
        <is>
          <t>Models MAS-12, the live configuration for MAS. Answer the yellow cells; every product knockout below is computed from them. This is Negative Market only - not the copy suitability score, not appropriateness.</t>
        </is>
      </c>
    </row>
    <row r="4">
      <c r="A4" s="5" t="inlineStr">
        <is>
          <t>STEP 1</t>
        </is>
      </c>
      <c r="B4" s="5" t="inlineStr">
        <is>
          <t>KYC answers</t>
        </is>
      </c>
    </row>
    <row r="5" ht="20" customHeight="1">
      <c r="A5" s="9" t="inlineStr"/>
      <c r="B5" s="9" t="inlineStr">
        <is>
          <t>Question</t>
        </is>
      </c>
      <c r="C5" s="9" t="inlineStr">
        <is>
          <t>Your answer</t>
        </is>
      </c>
      <c r="D5" s="9" t="inlineStr"/>
      <c r="E5" s="9" t="inlineStr"/>
      <c r="F5" s="9" t="inlineStr">
        <is>
          <t>Config question</t>
        </is>
      </c>
    </row>
    <row r="6">
      <c r="A6" s="10" t="n"/>
      <c r="B6" s="11" t="inlineStr">
        <is>
          <t>Have you transacted a CFD before?</t>
        </is>
      </c>
      <c r="C6" s="12" t="inlineStr">
        <is>
          <t>Yes</t>
        </is>
      </c>
      <c r="D6" s="10" t="n"/>
      <c r="E6" s="10" t="n"/>
      <c r="F6" s="13" t="inlineStr">
        <is>
          <t>HaveYouTransactedCFD</t>
        </is>
      </c>
    </row>
    <row r="7">
      <c r="A7" s="10" t="n"/>
      <c r="B7" s="11" t="inlineStr">
        <is>
          <t>CkaTradingKnowledge (derived from the three CKA criteria below)</t>
        </is>
      </c>
      <c r="C7" s="27">
        <f>IF(OR(C8="Yes",C9="Yes",C10="Yes"),"Has relevant knowledge","No financial knowledge")</f>
        <v/>
      </c>
      <c r="D7" s="10" t="n"/>
      <c r="E7" s="10" t="n"/>
      <c r="F7" s="13" t="inlineStr">
        <is>
          <t>CkaTradingKnowledge (computed)</t>
        </is>
      </c>
    </row>
    <row r="8">
      <c r="A8" s="10" t="n"/>
      <c r="B8" s="11" t="inlineStr">
        <is>
          <t>Hold a listed finance academic qualification?</t>
        </is>
      </c>
      <c r="C8" s="12" t="inlineStr">
        <is>
          <t>No</t>
        </is>
      </c>
      <c r="D8" s="10" t="n"/>
      <c r="E8" s="10" t="n"/>
      <c r="F8" s="13" t="inlineStr">
        <is>
          <t>CkaAcademicQualification (see Rules)</t>
        </is>
      </c>
    </row>
    <row r="9">
      <c r="A9" s="10" t="n"/>
      <c r="B9" s="11" t="inlineStr">
        <is>
          <t>Hold a listed professional certificate?</t>
        </is>
      </c>
      <c r="C9" s="12" t="inlineStr">
        <is>
          <t>No</t>
        </is>
      </c>
      <c r="D9" s="10" t="n"/>
      <c r="E9" s="10" t="n"/>
      <c r="F9" s="13" t="inlineStr">
        <is>
          <t>CkaProfessionalCertificate (see Rules)</t>
        </is>
      </c>
    </row>
    <row r="10">
      <c r="A10" s="10" t="n"/>
      <c r="B10" s="11" t="inlineStr">
        <is>
          <t>Have listed finance work experience?</t>
        </is>
      </c>
      <c r="C10" s="12" t="inlineStr">
        <is>
          <t>No</t>
        </is>
      </c>
      <c r="D10" s="10" t="n"/>
      <c r="E10" s="10" t="n"/>
      <c r="F10" s="13" t="inlineStr">
        <is>
          <t>CkaWorkExperience (see Rules)</t>
        </is>
      </c>
    </row>
    <row r="11">
      <c r="B11" s="14" t="inlineStr">
        <is>
          <t>ETF - CAR (Client Account Review). Practically a copy of CKA, for listed SIPs (ETFs) instead of unlisted SIPs (CFDs). CarTradingKnowledge is derived from the three CAR criteria below. Same listed qualification / certificate / work-experience sets as CKA (see Rules).</t>
        </is>
      </c>
    </row>
    <row r="12"/>
    <row r="13"/>
    <row r="14">
      <c r="A14" s="10" t="n"/>
      <c r="B14" s="11" t="inlineStr">
        <is>
          <t>Have you transacted an ETF before?</t>
        </is>
      </c>
      <c r="C14" s="12" t="inlineStr">
        <is>
          <t>Yes</t>
        </is>
      </c>
      <c r="D14" s="10" t="n"/>
      <c r="E14" s="10" t="n"/>
      <c r="F14" s="13" t="inlineStr">
        <is>
          <t>HaveYouTransactedEtf</t>
        </is>
      </c>
    </row>
    <row r="15">
      <c r="A15" s="10" t="n"/>
      <c r="B15" s="11" t="inlineStr">
        <is>
          <t>CarTradingKnowledge (derived from the three CAR criteria below)</t>
        </is>
      </c>
      <c r="C15" s="27">
        <f>IF(OR(C16="Yes",C17="Yes",C18="Yes"),"Has relevant knowledge","No financial knowledge")</f>
        <v/>
      </c>
      <c r="D15" s="10" t="n"/>
      <c r="E15" s="10" t="n"/>
      <c r="F15" s="13" t="inlineStr">
        <is>
          <t>CarTradingKnowledge (computed)</t>
        </is>
      </c>
    </row>
    <row r="16">
      <c r="A16" s="10" t="n"/>
      <c r="B16" s="11" t="inlineStr">
        <is>
          <t>Hold a listed finance academic qualification (CAR)?</t>
        </is>
      </c>
      <c r="C16" s="12" t="inlineStr">
        <is>
          <t>No</t>
        </is>
      </c>
      <c r="D16" s="10" t="n"/>
      <c r="E16" s="10" t="n"/>
      <c r="F16" s="13" t="inlineStr">
        <is>
          <t>CarAcademicQualification (see Rules)</t>
        </is>
      </c>
    </row>
    <row r="17">
      <c r="A17" s="10" t="n"/>
      <c r="B17" s="11" t="inlineStr">
        <is>
          <t>Hold a listed professional certificate (CAR)?</t>
        </is>
      </c>
      <c r="C17" s="12" t="inlineStr">
        <is>
          <t>No</t>
        </is>
      </c>
      <c r="D17" s="10" t="n"/>
      <c r="E17" s="10" t="n"/>
      <c r="F17" s="13" t="inlineStr">
        <is>
          <t>CarProfessionalCertificate (see Rules)</t>
        </is>
      </c>
    </row>
    <row r="18">
      <c r="A18" s="10" t="n"/>
      <c r="B18" s="11" t="inlineStr">
        <is>
          <t>Have listed finance work experience (CAR)?</t>
        </is>
      </c>
      <c r="C18" s="12" t="inlineStr">
        <is>
          <t>No</t>
        </is>
      </c>
      <c r="D18" s="10" t="n"/>
      <c r="E18" s="10" t="n"/>
      <c r="F18" s="13" t="inlineStr">
        <is>
          <t>CarWorkExperience (see Rules)</t>
        </is>
      </c>
    </row>
    <row r="20">
      <c r="A20" s="5" t="inlineStr">
        <is>
          <t>STEP 2</t>
        </is>
      </c>
      <c r="B20" s="5" t="inlineStr">
        <is>
          <t>Product knockouts</t>
        </is>
      </c>
    </row>
    <row r="21">
      <c r="B21" s="14" t="inlineStr">
        <is>
          <t>Each product is an independent formula. A missing product simply is not gated by NM under this regulation - it is NOT an implicit 'not blocked'. Rules within a product are independent: passing or auto-releasing one does not clear another. Working model for combining rules: blocked if any still-active rule is Blocked (see Readme caveat).</t>
        </is>
      </c>
    </row>
    <row r="22"/>
    <row r="23"/>
    <row r="24">
      <c r="B24" s="2" t="inlineStr">
        <is>
          <t>CFD (CKA)</t>
        </is>
      </c>
      <c r="F24" s="8" t="inlineStr">
        <is>
          <t>DefaultResult: Blocked</t>
        </is>
      </c>
    </row>
    <row r="25">
      <c r="B25" s="14" t="inlineStr">
        <is>
          <t>MAS is CKA-shaped: no appetite knockout, no quiz, no auto-release. Default Blocked; you are Not blocked only if the unblock rule passes. 364-day reassessment TTL.</t>
        </is>
      </c>
    </row>
    <row r="26" ht="20" customHeight="1">
      <c r="A26" s="9" t="inlineStr"/>
      <c r="B26" s="9" t="inlineStr">
        <is>
          <t>Rule / check</t>
        </is>
      </c>
      <c r="C26" s="9" t="inlineStr">
        <is>
          <t>Blocking answers (config)</t>
        </is>
      </c>
      <c r="D26" s="9" t="inlineStr">
        <is>
          <t>Your answer</t>
        </is>
      </c>
      <c r="E26" s="9" t="inlineStr">
        <is>
          <t>Fires?</t>
        </is>
      </c>
      <c r="F26" s="9" t="inlineStr"/>
    </row>
    <row r="27" ht="36" customHeight="1">
      <c r="A27" s="10" t="n"/>
      <c r="B27" s="11" t="inlineStr">
        <is>
          <t>Never transacted a CFD AND CKA knowledge = none (i.e. holds none of the three CKA criteria)</t>
        </is>
      </c>
      <c r="C27" s="23" t="inlineStr">
        <is>
          <t>HaveYouTransactedCFD=No AND CkaTradingKnowledge=NoFinancialKnowledge</t>
        </is>
      </c>
      <c r="D27" s="21">
        <f>C7</f>
        <v/>
      </c>
      <c r="E27" s="16">
        <f>IF(AND(C6="No",C7="No financial knowledge"),"YES","no")</f>
        <v/>
      </c>
      <c r="F27" s="13" t="inlineStr">
        <is>
          <t>KnockOut</t>
        </is>
      </c>
    </row>
    <row r="28" ht="24" customHeight="1">
      <c r="A28" s="10" t="n"/>
      <c r="B28" s="11" t="inlineStr">
        <is>
          <t>Transacted a CFD OR holds listed degree / certificate / work experience</t>
        </is>
      </c>
      <c r="C28" s="23" t="inlineStr">
        <is>
          <t>HaveYouTransactedCFD=Yes OR CkaAcademicQualification OR CkaProfessionalCertificate OR CkaWorkExperience</t>
        </is>
      </c>
      <c r="D28" s="10" t="n"/>
      <c r="E28" s="16">
        <f>IF(OR(C6="Yes",C8="Yes",C9="Yes",C10="Yes"),"YES","no")</f>
        <v/>
      </c>
      <c r="F28" s="13" t="inlineStr">
        <is>
          <t>TradingExperience (unblock)</t>
        </is>
      </c>
    </row>
    <row r="29">
      <c r="B29" s="19" t="inlineStr">
        <is>
          <t>CFD (CKA): result</t>
        </is>
      </c>
      <c r="C29" s="10" t="n"/>
      <c r="D29" s="10" t="n"/>
      <c r="E29" s="24">
        <f>IF(NOT(OR(C6="Yes",C8="Yes",C9="Yes",C10="Yes")),"BLOCKED","Not blocked")</f>
        <v/>
      </c>
      <c r="F29" s="10" t="n"/>
    </row>
    <row r="30">
      <c r="B30" s="25" t="inlineStr">
        <is>
          <t>MAS runs no copy-suitability test at all (no Suitability section from v3). CKA gates unlisted SIPs (CFDs). CAR below gates listed SIPs (ETFs).</t>
        </is>
      </c>
    </row>
    <row r="31"/>
    <row r="33">
      <c r="B33" s="2" t="inlineStr">
        <is>
          <t>ETF (CAR)</t>
        </is>
      </c>
      <c r="F33" s="8" t="inlineStr">
        <is>
          <t>DefaultResult: Blocked</t>
        </is>
      </c>
    </row>
    <row r="34">
      <c r="B34" s="14" t="inlineStr">
        <is>
          <t>Copy of the CKA formula, swapping CFD questions for CAR/ETF questions. Same default Blocked, same 364-day reassessment TTL, no auto-release.</t>
        </is>
      </c>
    </row>
    <row r="35" ht="20" customHeight="1">
      <c r="A35" s="9" t="inlineStr"/>
      <c r="B35" s="9" t="inlineStr">
        <is>
          <t>Rule / check</t>
        </is>
      </c>
      <c r="C35" s="9" t="inlineStr">
        <is>
          <t>Blocking answers (config)</t>
        </is>
      </c>
      <c r="D35" s="9" t="inlineStr">
        <is>
          <t>Your answer</t>
        </is>
      </c>
      <c r="E35" s="9" t="inlineStr">
        <is>
          <t>Fires?</t>
        </is>
      </c>
      <c r="F35" s="9" t="inlineStr"/>
    </row>
    <row r="36" ht="36" customHeight="1">
      <c r="A36" s="10" t="n"/>
      <c r="B36" s="11" t="inlineStr">
        <is>
          <t>Never transacted an ETF AND CAR knowledge = none (i.e. holds none of the three CAR criteria)</t>
        </is>
      </c>
      <c r="C36" s="23" t="inlineStr">
        <is>
          <t>HaveYouTransactedEtf=No AND CarTradingKnowledge=NoFinancialKnowledge</t>
        </is>
      </c>
      <c r="D36" s="21">
        <f>C15</f>
        <v/>
      </c>
      <c r="E36" s="16">
        <f>IF(AND(C14="No",C15="No financial knowledge"),"YES","no")</f>
        <v/>
      </c>
      <c r="F36" s="13" t="inlineStr">
        <is>
          <t>KnockOut</t>
        </is>
      </c>
    </row>
    <row r="37" ht="24" customHeight="1">
      <c r="A37" s="10" t="n"/>
      <c r="B37" s="11" t="inlineStr">
        <is>
          <t>Transacted an ETF OR holds listed degree / certificate / work experience</t>
        </is>
      </c>
      <c r="C37" s="23" t="inlineStr">
        <is>
          <t>HaveYouTransactedEtf=Yes OR CarAcademicQualification OR CarProfessionalCertificate OR CarWorkExperience</t>
        </is>
      </c>
      <c r="D37" s="10" t="n"/>
      <c r="E37" s="16">
        <f>IF(OR(C14="Yes",C16="Yes",C17="Yes",C18="Yes"),"YES","no")</f>
        <v/>
      </c>
      <c r="F37" s="13" t="inlineStr">
        <is>
          <t>TradingExperience (unblock)</t>
        </is>
      </c>
    </row>
    <row r="38">
      <c r="B38" s="19" t="inlineStr">
        <is>
          <t>ETF (CAR): result</t>
        </is>
      </c>
      <c r="C38" s="10" t="n"/>
      <c r="D38" s="10" t="n"/>
      <c r="E38" s="24">
        <f>IF(NOT(OR(C14="Yes",C16="Yes",C17="Yes",C18="Yes")),"BLOCKED","Not blocked")</f>
        <v/>
      </c>
      <c r="F38" s="10" t="n"/>
    </row>
    <row r="39">
      <c r="B39" s="25" t="inlineStr">
        <is>
          <t>EtfNegativeMarket is not on MAS-12.json. Stored MAS profiles carry an Etf product key; this tab models CAR as spec mirroring CKA. Confirm against the live document before quoting. Product copy mentions '&gt;= 6 ETF trades in 3 years'; the KYC question is binary HaveYouTransactedEtf, matching HaveYouTransactedCFD.</t>
        </is>
      </c>
    </row>
    <row r="40"/>
    <row r="42">
      <c r="A42" s="5" t="inlineStr">
        <is>
          <t>STEP 3</t>
        </is>
      </c>
      <c r="B42" s="5" t="inlineStr">
        <is>
          <t>Summary - Negative Market status per product</t>
        </is>
      </c>
    </row>
    <row r="43" ht="20" customHeight="1">
      <c r="A43" s="9" t="inlineStr"/>
      <c r="B43" s="9" t="inlineStr">
        <is>
          <t>Product</t>
        </is>
      </c>
      <c r="C43" s="9" t="inlineStr">
        <is>
          <t>Status</t>
        </is>
      </c>
      <c r="D43" s="9" t="inlineStr"/>
      <c r="E43" s="9" t="inlineStr"/>
      <c r="F43" s="9" t="inlineStr"/>
    </row>
    <row r="44">
      <c r="A44" s="10" t="n"/>
      <c r="B44" s="21" t="inlineStr">
        <is>
          <t>CFD (CKA)</t>
        </is>
      </c>
      <c r="C44" s="26">
        <f>E29</f>
        <v/>
      </c>
      <c r="D44" s="10" t="n"/>
      <c r="E44" s="10" t="n"/>
      <c r="F44" s="10" t="n"/>
    </row>
    <row r="45">
      <c r="A45" s="10" t="n"/>
      <c r="B45" s="21" t="inlineStr">
        <is>
          <t>ETF (CAR)</t>
        </is>
      </c>
      <c r="C45" s="26">
        <f>E38</f>
        <v/>
      </c>
      <c r="D45" s="10" t="n"/>
      <c r="E45" s="10" t="n"/>
      <c r="F45" s="10" t="n"/>
    </row>
    <row r="47">
      <c r="B47" s="14" t="inlineStr">
        <is>
          <t>This tab is Negative Market only. Suitability (copy risk score) and the Appropriateness status are separate tests with their own outcomes - use their own tools. A user can be NM-blocked on CFDs and perfectly fine to copy, or vice versa.</t>
        </is>
      </c>
    </row>
    <row r="48"/>
  </sheetData>
  <mergeCells count="8">
    <mergeCell ref="A2:F2"/>
    <mergeCell ref="B21:F23"/>
    <mergeCell ref="B34:F34"/>
    <mergeCell ref="B25:F25"/>
    <mergeCell ref="B11:F13"/>
    <mergeCell ref="B47:F48"/>
    <mergeCell ref="B39:F40"/>
    <mergeCell ref="B30:F31"/>
  </mergeCells>
  <dataValidations count="8">
    <dataValidation sqref="C6" showDropDown="0" showInputMessage="0" showErrorMessage="0" allowBlank="0" type="list">
      <formula1>Lists!$H$2:$H$3</formula1>
    </dataValidation>
    <dataValidation sqref="C8" showDropDown="0" showInputMessage="0" showErrorMessage="0" allowBlank="0" type="list">
      <formula1>Lists!$H$2:$H$3</formula1>
    </dataValidation>
    <dataValidation sqref="C9" showDropDown="0" showInputMessage="0" showErrorMessage="0" allowBlank="0" type="list">
      <formula1>Lists!$H$2:$H$3</formula1>
    </dataValidation>
    <dataValidation sqref="C10" showDropDown="0" showInputMessage="0" showErrorMessage="0" allowBlank="0" type="list">
      <formula1>Lists!$H$2:$H$3</formula1>
    </dataValidation>
    <dataValidation sqref="C14" showDropDown="0" showInputMessage="0" showErrorMessage="0" allowBlank="0" type="list">
      <formula1>Lists!$H$2:$H$3</formula1>
    </dataValidation>
    <dataValidation sqref="C16" showDropDown="0" showInputMessage="0" showErrorMessage="0" allowBlank="0" type="list">
      <formula1>Lists!$H$2:$H$3</formula1>
    </dataValidation>
    <dataValidation sqref="C17" showDropDown="0" showInputMessage="0" showErrorMessage="0" allowBlank="0" type="list">
      <formula1>Lists!$H$2:$H$3</formula1>
    </dataValidation>
    <dataValidation sqref="C18" showDropDown="0" showInputMessage="0" showErrorMessage="0" allowBlank="0" type="list">
      <formula1>Lists!$H$2:$H$3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5"/>
  <sheetViews>
    <sheetView showGridLines="0" workbookViewId="0">
      <pane ySplit="3" topLeftCell="A4" activePane="bottomLeft" state="frozen"/>
      <selection pane="bottomLeft" activeCell="A1" sqref="A1"/>
    </sheetView>
  </sheetViews>
  <sheetFormatPr baseColWidth="8" defaultRowHeight="15"/>
  <cols>
    <col width="34" customWidth="1" min="1" max="1"/>
    <col width="80" customWidth="1" min="2" max="2"/>
    <col width="20" customWidth="1" min="3" max="3"/>
    <col width="20" customWidth="1" min="4" max="4"/>
  </cols>
  <sheetData>
    <row r="1">
      <c r="A1" s="7" t="inlineStr">
        <is>
          <t>Negative Market - rule reference</t>
        </is>
      </c>
    </row>
    <row r="2">
      <c r="A2" s="8" t="inlineStr">
        <is>
          <t>The exact answer lists behind the summarised checks on the calculator tabs. Verbatim from config-prod/. Enum names as the engine stores them.</t>
        </is>
      </c>
    </row>
    <row r="4">
      <c r="A4" s="5" t="inlineStr">
        <is>
          <t>Knowledge assessment statements (TradingKnowledgeAssessment)</t>
        </is>
      </c>
    </row>
    <row r="5">
      <c r="A5" s="3" t="inlineStr">
        <is>
          <t>142  NewerLeverage  (+2)  - $1,000 at 20x leverage: a 5% adverse move wipes out my investment</t>
        </is>
      </c>
    </row>
    <row r="6">
      <c r="A6" s="3" t="inlineStr">
        <is>
          <t>144  NewerMarginCall  (+2)  - If account equity falls below required margin, a margin call liquidates positions</t>
        </is>
      </c>
    </row>
    <row r="7">
      <c r="A7" s="3" t="inlineStr">
        <is>
          <t>143  NewerCfd  (-2)  - If Google rises on NASDAQ, my Google CFD goes down</t>
        </is>
      </c>
    </row>
    <row r="8">
      <c r="A8" s="3" t="inlineStr">
        <is>
          <t>145  NewerStopLossTrigger  (-2)  - My positions stay open even when a stop loss is triggered</t>
        </is>
      </c>
    </row>
    <row r="9">
      <c r="A9" s="3" t="inlineStr">
        <is>
          <t>146  NewerStopLossGapThrough  (-2)  - If the market gaps through my stop loss, it closes at the exact stop level</t>
        </is>
      </c>
    </row>
    <row r="10">
      <c r="A10" s="3" t="inlineStr">
        <is>
          <t>212  NewerCfdTrs  (-2)  - I can sell my OTC complex products (CFD, TRS) outside eToro</t>
        </is>
      </c>
    </row>
    <row r="11">
      <c r="A11" s="3" t="inlineStr">
        <is>
          <t>Cutoff on NM: total score &gt;= -3 =&gt; NotBlocked (copy test uses four bands instead).</t>
        </is>
      </c>
    </row>
    <row r="13">
      <c r="A13" s="5" t="inlineStr">
        <is>
          <t>CySEC/FCA CFD questionnaire set 1 (LessThan 3 correct =&gt; still blocked)</t>
        </is>
      </c>
    </row>
    <row r="14">
      <c r="A14" s="3" t="inlineStr">
        <is>
          <t>QuestionnaireCfdAssessmentStopLossOrderCanceled</t>
        </is>
      </c>
    </row>
    <row r="15">
      <c r="A15" s="3" t="inlineStr">
        <is>
          <t>QuestionnaireCfdAssessmentStopLossOrderGuarantee</t>
        </is>
      </c>
    </row>
    <row r="16">
      <c r="A16" s="3" t="inlineStr">
        <is>
          <t>QuestionnaireCfdAssessmentFailsMarginCall</t>
        </is>
      </c>
    </row>
    <row r="17">
      <c r="A17" s="3" t="inlineStr">
        <is>
          <t>QuestionnaireCfdAssessmentLeverageDerivative</t>
        </is>
      </c>
    </row>
    <row r="18">
      <c r="A18" s="3" t="inlineStr">
        <is>
          <t>QuestionnaireCfdAssessmentLeverageRisk</t>
        </is>
      </c>
    </row>
    <row r="19">
      <c r="A19" s="3" t="inlineStr">
        <is>
          <t>Correct answers differ slightly between CySEC and FCA (see config).</t>
        </is>
      </c>
    </row>
    <row r="21">
      <c r="A21" s="5" t="inlineStr">
        <is>
          <t>CySEC/FCA CFD questionnaire set 2 (LessThan 3 correct =&gt; still blocked)</t>
        </is>
      </c>
    </row>
    <row r="22">
      <c r="A22" s="3" t="inlineStr">
        <is>
          <t>CfdAssessmentSpread</t>
        </is>
      </c>
    </row>
    <row r="23">
      <c r="A23" s="3" t="inlineStr">
        <is>
          <t>CfdAssessmentMainRiskLeveragedCfd</t>
        </is>
      </c>
    </row>
    <row r="24">
      <c r="A24" s="3" t="inlineStr">
        <is>
          <t>CfdAssessmentFactorsPlacementStopLossOrder</t>
        </is>
      </c>
    </row>
    <row r="25">
      <c r="A25" s="3" t="inlineStr">
        <is>
          <t>CfdAssessmentPurposeStopLossLeveragedDerivative</t>
        </is>
      </c>
    </row>
    <row r="26">
      <c r="A26" s="3" t="inlineStr">
        <is>
          <t>CfdAssessmentMarginCallProfitableTrade</t>
        </is>
      </c>
    </row>
    <row r="28">
      <c r="A28" s="5" t="inlineStr">
        <is>
          <t>ASIC GAML CFD &amp; Futures Typeform knockout set (source: Futures Suitability Test workbook)</t>
        </is>
      </c>
    </row>
    <row r="29">
      <c r="A29" s="3" t="inlineStr">
        <is>
          <t>Application scope: 'CFDs &amp; Futures' Qs gate both products; 'CFD only' Qs gate CFD; 'Futures only' Qs gate Futures.</t>
        </is>
      </c>
    </row>
    <row r="30">
      <c r="A30" s="3" t="inlineStr">
        <is>
          <t>Q1 Leverage increases losses/gains: No = KO. Q2 Can lose entire amount: No = KO.</t>
        </is>
      </c>
    </row>
    <row r="31">
      <c r="A31" s="3" t="inlineStr">
        <is>
          <t>Q3 Emotional distress at -25%: Yes = KO. Q4 Material hardship if lose all: Yes = KO.</t>
        </is>
      </c>
    </row>
    <row r="32">
      <c r="A32" s="3" t="inlineStr">
        <is>
          <t>Q5 Meet a margin call without material stress: No = KO.</t>
        </is>
      </c>
    </row>
    <row r="33">
      <c r="A33" s="3" t="inlineStr">
        <is>
          <t>Q6 Purpose: KO on 'Saving for a home or long term investment priorities'; leverage/diversify/speculate/hedge pass.</t>
        </is>
      </c>
    </row>
    <row r="34">
      <c r="A34" s="3" t="inlineStr">
        <is>
          <t>Q7 (CFD only) Buying a CFD gives ownership of the underlying: Yes = KO.</t>
        </is>
      </c>
    </row>
    <row r="35">
      <c r="A35" s="3" t="inlineStr">
        <is>
          <t>Q8 (CFD only) How long to keep CFD positions open: KO on 'several months' or 'more than several months/years'; up to a month passes.</t>
        </is>
      </c>
    </row>
    <row r="36">
      <c r="A36" s="3" t="inlineStr">
        <is>
          <t>Q9 (Futures only) Initial margin = : KO on 'total value of the contract' or 'daily settlement amount'; 'security deposit to open a position' passes.</t>
        </is>
      </c>
    </row>
    <row r="37">
      <c r="A37" s="3" t="inlineStr">
        <is>
          <t>Q10 (Futures only) Futures contract timeframe: KO on 'up to several days'; few weeks / monthly-quarterly-annually pass.</t>
        </is>
      </c>
    </row>
    <row r="38">
      <c r="A38" s="3" t="inlineStr">
        <is>
          <t>Q11 (Futures only) Ability to monitor open positions: No = KO.</t>
        </is>
      </c>
    </row>
    <row r="39">
      <c r="A39" s="3" t="inlineStr">
        <is>
          <t>Deployed ASICGAML-15.json expresses this as a fail-closed CfdRiskAssessment vector.</t>
        </is>
      </c>
    </row>
    <row r="41">
      <c r="A41" s="5" t="inlineStr">
        <is>
          <t>MAS v12 CkaAcademicQualification (any one unblocks)</t>
        </is>
      </c>
    </row>
    <row r="42">
      <c r="A42" s="3" t="inlineStr">
        <is>
          <t>Accountancy, ActuarialScience, BusinessAdministration, BusinessManagementStudies, CapitalMarkets, Commerce, ComputationalFinance, Economics, Finance, FinancialEngineering, FinancialPlanning, Insurance</t>
        </is>
      </c>
    </row>
    <row r="44">
      <c r="A44" s="5" t="inlineStr">
        <is>
          <t>MAS v12 CkaProfessionalCertificate (any one unblocks)</t>
        </is>
      </c>
    </row>
    <row r="45">
      <c r="A45" s="3" t="inlineStr">
        <is>
          <t>ACCA, AFP, AWP, CFP, CTE, FRM, CAIA, CFA, CHFC, CPA, CISI</t>
        </is>
      </c>
    </row>
    <row r="47">
      <c r="A47" s="5" t="inlineStr">
        <is>
          <t>MAS v12 CkaWorkExperience (any one unblocks)</t>
        </is>
      </c>
    </row>
    <row r="48">
      <c r="A48" s="3" t="inlineStr">
        <is>
          <t>Accountancy, ActuarialScience, FinancialRiskManagement, DevelopmentOfInvestmentProducts, StructuringOfInvestmentProducts, ManagementOfInvestmentProducts, SaleOfInvestmentProducts, TradingOfInvestmentProducts, ResearchAndAnalysisOfInvestmentProducts, ProvisionOfTrainingInInvestmentProducts, Treasury, ProvisionOfLegalAdviceOrPossessionOfLegalExpertise</t>
        </is>
      </c>
    </row>
    <row r="50">
      <c r="A50" s="5" t="inlineStr">
        <is>
          <t>MAS v12 CAR (ETF) - same listed sets as CKA</t>
        </is>
      </c>
    </row>
    <row r="51">
      <c r="A51" s="3" t="inlineStr">
        <is>
          <t>CarAcademicQualification / CarProfessionalCertificate / CarWorkExperience reuse the same listed answer enums as the three CKA questions above.</t>
        </is>
      </c>
    </row>
    <row r="52">
      <c r="A52" s="3" t="inlineStr">
        <is>
          <t>KnockOut: HaveYouTransactedEtf=No AND CarTradingKnowledge=NoFinancialKnowledge.</t>
        </is>
      </c>
    </row>
    <row r="53">
      <c r="A53" s="3" t="inlineStr">
        <is>
          <t>Unblock: HaveYouTransactedEtf=Yes OR any listed CAR criterion.</t>
        </is>
      </c>
    </row>
    <row r="54">
      <c r="A54" s="3" t="inlineStr">
        <is>
          <t>CarTradingKnowledge is derived (any of the three criteria =&gt; Has relevant knowledge).</t>
        </is>
      </c>
    </row>
    <row r="55">
      <c r="A55" s="3" t="inlineStr">
        <is>
          <t>Not on MAS-12.json; modelled as a copy of CfdNegativeMarket. CarTrainingCourses and CarDeclinedByOtherFIs exist as KYC questions but are not in the CKA formula either, so they are omitted here too.</t>
        </is>
      </c>
    </row>
    <row r="57">
      <c r="A57" s="5" t="inlineStr">
        <is>
          <t>ASIC GAML Futures - two-stage NM (source: Futures Suitability Test workbook)</t>
        </is>
      </c>
    </row>
    <row r="58">
      <c r="A58" s="3" t="inlineStr">
        <is>
          <t>Stage 1 (onboarding): the leveraged NMF - Test A (experience) + Test B (profile knockout), identical inputs/result to the CFD leveraged NMF block.</t>
        </is>
      </c>
    </row>
    <row r="59">
      <c r="A59" s="3" t="inlineStr">
        <is>
          <t>Stage 2 (intent to trade): the Typeform questionnaire above, scope = 'CFDs &amp; Futures' + 'Futures only'. One question per row; any KO answer blocks.</t>
        </is>
      </c>
    </row>
    <row r="60">
      <c r="A60" s="3" t="inlineStr">
        <is>
          <t>Blocked if either stage blocks. Stage 2 retake has a 30-day cooling period.</t>
        </is>
      </c>
    </row>
    <row r="62">
      <c r="A62" s="5" t="inlineStr">
        <is>
          <t>UK crypto overlay (country 218) - FCA (UK) only</t>
        </is>
      </c>
    </row>
    <row r="63">
      <c r="A63" s="3" t="inlineStr">
        <is>
          <t>CryptoTradingKnowledgeAssessment: +1 per correctly judged Yes/No, MinTotalScore 5.</t>
        </is>
      </c>
    </row>
    <row r="64">
      <c r="A64" s="3" t="inlineStr">
        <is>
          <t>ClassificationQuestionnaire: IConfirmExposeHighNetWorthInvestor=Yes AND IConfirmExposeSophisticatedInvestor=Yes.</t>
        </is>
      </c>
    </row>
    <row r="65">
      <c r="A65" s="3" t="inlineStr">
        <is>
          <t>DefaultResult Blocked, OnlyDirectTradeRestriction, 1-day cooling-off.</t>
        </is>
      </c>
    </row>
  </sheetData>
  <mergeCells count="44">
    <mergeCell ref="A5:D5"/>
    <mergeCell ref="A17:D17"/>
    <mergeCell ref="A23:D23"/>
    <mergeCell ref="A8:D8"/>
    <mergeCell ref="A22:D22"/>
    <mergeCell ref="A53:D53"/>
    <mergeCell ref="A35:D35"/>
    <mergeCell ref="A38:D38"/>
    <mergeCell ref="A29:D29"/>
    <mergeCell ref="A52:D52"/>
    <mergeCell ref="A19:D19"/>
    <mergeCell ref="A63:D63"/>
    <mergeCell ref="A10:D10"/>
    <mergeCell ref="A9:D9"/>
    <mergeCell ref="A31:D31"/>
    <mergeCell ref="A58:D58"/>
    <mergeCell ref="A34:D34"/>
    <mergeCell ref="A48:D48"/>
    <mergeCell ref="A30:D30"/>
    <mergeCell ref="A39:D39"/>
    <mergeCell ref="A15:D15"/>
    <mergeCell ref="A59:D59"/>
    <mergeCell ref="A64:D64"/>
    <mergeCell ref="A24:D24"/>
    <mergeCell ref="A11:D11"/>
    <mergeCell ref="A51:D51"/>
    <mergeCell ref="A60:D60"/>
    <mergeCell ref="A36:D36"/>
    <mergeCell ref="A45:D45"/>
    <mergeCell ref="A6:D6"/>
    <mergeCell ref="A54:D54"/>
    <mergeCell ref="A7:D7"/>
    <mergeCell ref="A25:D25"/>
    <mergeCell ref="A65:D65"/>
    <mergeCell ref="A16:D16"/>
    <mergeCell ref="A37:D37"/>
    <mergeCell ref="A18:D18"/>
    <mergeCell ref="A26:D26"/>
    <mergeCell ref="A55:D55"/>
    <mergeCell ref="A2:D2"/>
    <mergeCell ref="A33:D33"/>
    <mergeCell ref="A42:D42"/>
    <mergeCell ref="A32:D32"/>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showGridLines="0"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s>
  <sheetData>
    <row r="1">
      <c r="A1" s="2" t="inlineStr">
        <is>
          <t>Risk</t>
        </is>
      </c>
      <c r="B1" s="2" t="inlineStr">
        <is>
          <t>Income</t>
        </is>
      </c>
      <c r="C1" s="2" t="inlineStr">
        <is>
          <t>Purpose</t>
        </is>
      </c>
      <c r="D1" s="2" t="inlineStr">
        <is>
          <t>Experience</t>
        </is>
      </c>
      <c r="E1" s="2" t="inlineStr">
        <is>
          <t>Knowledge</t>
        </is>
      </c>
      <c r="F1" s="2" t="inlineStr">
        <is>
          <t>IncomeSource</t>
        </is>
      </c>
      <c r="G1" s="2" t="inlineStr">
        <is>
          <t>Occupation</t>
        </is>
      </c>
      <c r="H1" s="2" t="inlineStr">
        <is>
          <t>YesNo</t>
        </is>
      </c>
      <c r="I1" s="2" t="inlineStr">
        <is>
          <t>Count5</t>
        </is>
      </c>
      <c r="J1" s="2" t="inlineStr">
        <is>
          <t>tf_leverage</t>
        </is>
      </c>
      <c r="K1" s="2" t="inlineStr">
        <is>
          <t>tf_loseall</t>
        </is>
      </c>
      <c r="L1" s="2" t="inlineStr">
        <is>
          <t>tf_distress</t>
        </is>
      </c>
      <c r="M1" s="2" t="inlineStr">
        <is>
          <t>tf_hardship</t>
        </is>
      </c>
      <c r="N1" s="2" t="inlineStr">
        <is>
          <t>tf_margincall</t>
        </is>
      </c>
      <c r="O1" s="2" t="inlineStr">
        <is>
          <t>tf_purpose</t>
        </is>
      </c>
      <c r="P1" s="2" t="inlineStr">
        <is>
          <t>tf_ownership</t>
        </is>
      </c>
      <c r="Q1" s="2" t="inlineStr">
        <is>
          <t>tf_cfd_duration</t>
        </is>
      </c>
      <c r="R1" s="2" t="inlineStr">
        <is>
          <t>tf_fut_margin</t>
        </is>
      </c>
      <c r="S1" s="2" t="inlineStr">
        <is>
          <t>tf_fut_timeframe</t>
        </is>
      </c>
      <c r="T1" s="2" t="inlineStr">
        <is>
          <t>tf_fut_monitor</t>
        </is>
      </c>
    </row>
    <row r="2">
      <c r="A2" s="28" t="inlineStr">
        <is>
          <t>5% / -3%</t>
        </is>
      </c>
      <c r="B2" s="28" t="inlineStr">
        <is>
          <t>Up to 10K</t>
        </is>
      </c>
      <c r="C2" s="28" t="inlineStr">
        <is>
          <t>Short-term returns</t>
        </is>
      </c>
      <c r="D2" s="28" t="inlineStr">
        <is>
          <t>Never traded</t>
        </is>
      </c>
      <c r="E2" s="28" t="inlineStr">
        <is>
          <t>No financial knowledge</t>
        </is>
      </c>
      <c r="F2" s="28" t="inlineStr">
        <is>
          <t>Salary</t>
        </is>
      </c>
      <c r="G2" s="28" t="inlineStr">
        <is>
          <t>Employed</t>
        </is>
      </c>
      <c r="H2" s="28" t="inlineStr">
        <is>
          <t>Yes</t>
        </is>
      </c>
      <c r="I2" s="28" t="n">
        <v>0</v>
      </c>
      <c r="J2" s="28" t="inlineStr">
        <is>
          <t>Yes</t>
        </is>
      </c>
      <c r="K2" s="28" t="inlineStr">
        <is>
          <t>Yes</t>
        </is>
      </c>
      <c r="L2" s="28" t="inlineStr">
        <is>
          <t>No</t>
        </is>
      </c>
      <c r="M2" s="28" t="inlineStr">
        <is>
          <t>No</t>
        </is>
      </c>
      <c r="N2" s="28" t="inlineStr">
        <is>
          <t>Yes</t>
        </is>
      </c>
      <c r="O2" s="28" t="inlineStr">
        <is>
          <t>To access the leverage provided</t>
        </is>
      </c>
      <c r="P2" s="28" t="inlineStr">
        <is>
          <t>No</t>
        </is>
      </c>
      <c r="Q2" s="28" t="inlineStr">
        <is>
          <t>Up to several days</t>
        </is>
      </c>
      <c r="R2" s="28" t="inlineStr">
        <is>
          <t>A security deposit required to open a position</t>
        </is>
      </c>
      <c r="S2" s="28" t="inlineStr">
        <is>
          <t>Few weeks</t>
        </is>
      </c>
      <c r="T2" s="28" t="inlineStr">
        <is>
          <t>Yes</t>
        </is>
      </c>
    </row>
    <row r="3">
      <c r="A3" s="28" t="inlineStr">
        <is>
          <t>10% / -6%</t>
        </is>
      </c>
      <c r="B3" s="28" t="inlineStr">
        <is>
          <t>10K - 50K</t>
        </is>
      </c>
      <c r="C3" s="28" t="inlineStr">
        <is>
          <t>Additional revenues</t>
        </is>
      </c>
      <c r="D3" s="28" t="inlineStr">
        <is>
          <t>Traded before</t>
        </is>
      </c>
      <c r="E3" s="28" t="inlineStr">
        <is>
          <t>Trading courses</t>
        </is>
      </c>
      <c r="F3" s="28" t="inlineStr">
        <is>
          <t>Investments</t>
        </is>
      </c>
      <c r="G3" s="28" t="inlineStr">
        <is>
          <t>Self-employed</t>
        </is>
      </c>
      <c r="H3" s="28" t="inlineStr">
        <is>
          <t>No</t>
        </is>
      </c>
      <c r="I3" s="28" t="n">
        <v>1</v>
      </c>
      <c r="J3" s="28" t="inlineStr">
        <is>
          <t>No</t>
        </is>
      </c>
      <c r="K3" s="28" t="inlineStr">
        <is>
          <t>No</t>
        </is>
      </c>
      <c r="L3" s="28" t="inlineStr">
        <is>
          <t>Yes</t>
        </is>
      </c>
      <c r="M3" s="28" t="inlineStr">
        <is>
          <t>Yes</t>
        </is>
      </c>
      <c r="N3" s="28" t="inlineStr">
        <is>
          <t>No</t>
        </is>
      </c>
      <c r="O3" s="28" t="inlineStr">
        <is>
          <t>To diversify my investment portfolio</t>
        </is>
      </c>
      <c r="P3" s="28" t="inlineStr">
        <is>
          <t>Yes</t>
        </is>
      </c>
      <c r="Q3" s="28" t="inlineStr">
        <is>
          <t>Few weeks up to one month</t>
        </is>
      </c>
      <c r="R3" s="28" t="inlineStr">
        <is>
          <t>The total value of the contract</t>
        </is>
      </c>
      <c r="S3" s="28" t="inlineStr">
        <is>
          <t>Monthly, quarterly, annually</t>
        </is>
      </c>
      <c r="T3" s="28" t="inlineStr">
        <is>
          <t>No</t>
        </is>
      </c>
    </row>
    <row r="4">
      <c r="A4" s="28" t="inlineStr">
        <is>
          <t>20% / -12%</t>
        </is>
      </c>
      <c r="B4" s="28" t="inlineStr">
        <is>
          <t>50K - 200K</t>
        </is>
      </c>
      <c r="C4" s="28" t="inlineStr">
        <is>
          <t>Future planning</t>
        </is>
      </c>
      <c r="E4" s="28" t="inlineStr">
        <is>
          <t>University degree in finance</t>
        </is>
      </c>
      <c r="F4" s="28" t="inlineStr">
        <is>
          <t>Savings</t>
        </is>
      </c>
      <c r="G4" s="28" t="inlineStr">
        <is>
          <t>No occupation</t>
        </is>
      </c>
      <c r="I4" s="28" t="n">
        <v>2</v>
      </c>
      <c r="O4" s="28" t="inlineStr">
        <is>
          <t>To speculate on potential market movements</t>
        </is>
      </c>
      <c r="Q4" s="28" t="inlineStr">
        <is>
          <t>Several months</t>
        </is>
      </c>
      <c r="R4" s="28" t="inlineStr">
        <is>
          <t>Daily settlement amount</t>
        </is>
      </c>
      <c r="S4" s="28" t="inlineStr">
        <is>
          <t>Up to several days</t>
        </is>
      </c>
    </row>
    <row r="5">
      <c r="A5" s="28" t="inlineStr">
        <is>
          <t>40% / -24%</t>
        </is>
      </c>
      <c r="B5" s="28" t="inlineStr">
        <is>
          <t>200K - 500K</t>
        </is>
      </c>
      <c r="C5" s="28" t="inlineStr">
        <is>
          <t>Saving for a home</t>
        </is>
      </c>
      <c r="E5" s="28" t="inlineStr">
        <is>
          <t>Professional certificate / experience</t>
        </is>
      </c>
      <c r="F5" s="28" t="inlineStr">
        <is>
          <t>Business activities</t>
        </is>
      </c>
      <c r="G5" s="28" t="inlineStr">
        <is>
          <t>Retired</t>
        </is>
      </c>
      <c r="I5" s="28" t="n">
        <v>3</v>
      </c>
      <c r="O5" s="28" t="inlineStr">
        <is>
          <t>To hedge other exposures</t>
        </is>
      </c>
      <c r="Q5" s="28" t="inlineStr">
        <is>
          <t>More than several months/years</t>
        </is>
      </c>
    </row>
    <row r="6">
      <c r="A6" s="28" t="inlineStr">
        <is>
          <t>80% / -48%</t>
        </is>
      </c>
      <c r="B6" s="28" t="inlineStr">
        <is>
          <t>500K - 1M</t>
        </is>
      </c>
      <c r="C6" s="28" t="inlineStr">
        <is>
          <t>Investments</t>
        </is>
      </c>
      <c r="F6" s="28" t="inlineStr">
        <is>
          <t>Inheritance</t>
        </is>
      </c>
      <c r="I6" s="28" t="n">
        <v>4</v>
      </c>
      <c r="O6" s="28" t="inlineStr">
        <is>
          <t>Saving for a home or long term investment priorities</t>
        </is>
      </c>
    </row>
    <row r="7">
      <c r="B7" s="28" t="inlineStr">
        <is>
          <t>1M - 5M</t>
        </is>
      </c>
      <c r="F7" s="28" t="inlineStr">
        <is>
          <t>Pension</t>
        </is>
      </c>
      <c r="I7" s="28" t="n">
        <v>5</v>
      </c>
    </row>
    <row r="8">
      <c r="B8" s="28" t="inlineStr">
        <is>
          <t>Less than 25K (alt catalogue)</t>
        </is>
      </c>
      <c r="F8" s="28" t="inlineStr">
        <is>
          <t>Social security</t>
        </is>
      </c>
    </row>
    <row r="9">
      <c r="B9" s="28" t="inlineStr">
        <is>
          <t>10K - 25K (alt)</t>
        </is>
      </c>
    </row>
    <row r="10">
      <c r="B10" s="28" t="inlineStr">
        <is>
          <t>25K - 50K (alt)</t>
        </is>
      </c>
    </row>
    <row r="11">
      <c r="B11" s="28" t="inlineStr">
        <is>
          <t>200K - 500K (alt)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2026-08-23T12:55:27Z</dcterms:created>
  <dcterms:modified xsi:type="dcterms:W3CDTF">2026-08-23T12:55:27Z</dcterms:modified>
</cp:coreProperties>
</file>