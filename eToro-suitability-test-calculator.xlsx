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ySEC v24" sheetId="2" state="visible" r:id="rId2"/>
    <sheet name="FCA v15" sheetId="3" state="visible" r:id="rId3"/>
    <sheet name="ASIC v9" sheetId="4" state="visible" r:id="rId4"/>
    <sheet name="ASIC GAML v15" sheetId="5" state="visible" r:id="rId5"/>
    <sheet name="FSRA v10" sheetId="6" state="visible" r:id="rId6"/>
    <sheet name="Monitoring" sheetId="7" state="visible" r:id="rId7"/>
    <sheet name="Scoring" sheetId="8" state="visible" r:id="rId8"/>
    <sheet name="Questions" sheetId="9" state="visible" r:id="rId9"/>
    <sheet name="Legacy" sheetId="10" state="visible" r:id="rId10"/>
    <sheet name="Lists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2A37"/>
      <sz val="16"/>
    </font>
    <font>
      <color rgb="006B7280"/>
      <sz val="9"/>
    </font>
    <font>
      <b val="1"/>
      <color rgb="00FFFFFF"/>
      <sz val="10"/>
    </font>
    <font>
      <name val="Menlo"/>
      <color rgb="001F2A37"/>
      <sz val="10"/>
    </font>
    <font>
      <color rgb="001F2A37"/>
      <sz val="10"/>
    </font>
    <font>
      <b val="1"/>
      <color rgb="001F2A37"/>
      <sz val="10"/>
    </font>
    <font>
      <b val="1"/>
      <color rgb="000F5C4A"/>
      <sz val="12"/>
    </font>
    <font>
      <b val="1"/>
      <color rgb="00B42318"/>
      <sz val="9"/>
    </font>
    <font>
      <b val="1"/>
      <color rgb="000F5C4A"/>
      <sz val="14"/>
    </font>
    <font>
      <b val="1"/>
      <color rgb="001F2A37"/>
      <sz val="20"/>
    </font>
  </fonts>
  <fills count="7">
    <fill>
      <patternFill/>
    </fill>
    <fill>
      <patternFill patternType="gray125"/>
    </fill>
    <fill>
      <patternFill patternType="solid">
        <fgColor rgb="000F5C4A"/>
      </patternFill>
    </fill>
    <fill>
      <patternFill patternType="solid">
        <fgColor rgb="00FFF6D6"/>
      </patternFill>
    </fill>
    <fill>
      <patternFill patternType="solid">
        <fgColor rgb="00F2F4F7"/>
      </patternFill>
    </fill>
    <fill>
      <patternFill patternType="solid">
        <fgColor rgb="00DCEBE6"/>
      </patternFill>
    </fill>
    <fill>
      <patternFill patternType="solid">
        <fgColor rgb="00FDE7E4"/>
      </patternFill>
    </fill>
  </fills>
  <borders count="2">
    <border>
      <left/>
      <right/>
      <top/>
      <bottom/>
      <diagonal/>
    </border>
    <border>
      <left style="thin">
        <color rgb="00D5DBE0"/>
      </left>
      <right style="thin">
        <color rgb="00D5DBE0"/>
      </right>
      <top style="thin">
        <color rgb="00D5DBE0"/>
      </top>
      <bottom style="thin">
        <color rgb="00D5DBE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6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0" borderId="1" pivotButton="0" quotePrefix="0" xfId="0"/>
    <xf numFmtId="0" fontId="8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5" borderId="1" pivotButton="0" quotePrefix="0" xfId="0"/>
    <xf numFmtId="0" fontId="9" fillId="5" borderId="1" pivotButton="0" quotePrefix="0" xfId="0"/>
    <xf numFmtId="0" fontId="0" fillId="5" borderId="1" pivotButton="0" quotePrefix="0" xfId="0"/>
    <xf numFmtId="0" fontId="8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6" fillId="5" borderId="1" pivotButton="0" quotePrefix="0" xfId="0"/>
    <xf numFmtId="3" fontId="0" fillId="0" borderId="1" applyAlignment="1" pivotButton="0" quotePrefix="0" xfId="0">
      <alignment horizontal="center" vertical="center"/>
    </xf>
    <xf numFmtId="3" fontId="6" fillId="3" borderId="1" pivotButton="0" quotePrefix="0" xfId="0"/>
    <xf numFmtId="3" fontId="0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3" fontId="0" fillId="0" borderId="1" pivotButton="0" quotePrefix="0" xfId="0"/>
    <xf numFmtId="0" fontId="6" fillId="6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6" customWidth="1" min="3" max="3"/>
  </cols>
  <sheetData>
    <row r="1">
      <c r="A1" s="1" t="inlineStr">
        <is>
          <t>eToro copy-trading suitability test</t>
        </is>
      </c>
    </row>
    <row r="3" ht="39" customHeight="1">
      <c r="B3" s="2" t="inlineStr">
        <is>
          <t>What this is</t>
        </is>
      </c>
      <c r="C3" s="3" t="inlineStr">
        <is>
          <t>A working model of the live suitability formula that gates copy trading and Smart Portfolios at eToro. Scoring is taken verbatim from the live ClientRiskProfileConfiguration documents CySEC-24, FCA-15, ASIC-9, ASIC GAML-15 and FSRA-10, read from the production Cosmos account.</t>
        </is>
      </c>
    </row>
    <row r="5">
      <c r="B5" s="4" t="inlineStr">
        <is>
          <t>Sheets</t>
        </is>
      </c>
    </row>
    <row r="6" ht="52" customHeight="1">
      <c r="B6" s="2" t="inlineStr">
        <is>
          <t>One tab per regulation</t>
        </is>
      </c>
      <c r="C6" s="3" t="inlineStr">
        <is>
          <t>Pick the tab for the regulation the user falls under - CySEC v24, FCA v15, ASIC v9, ASIC GAML v15, FSRA v10. Answer the yellow cells and you get a risk profile and a maximum copyable risk score. Covers gate 1 (hard block) and gate 2 (risk-score cap). Each tab shows only the questions and block conditions that regulation actually uses, so nothing on screen is inapplicable.</t>
        </is>
      </c>
    </row>
    <row r="7" ht="26" customHeight="1">
      <c r="B7" s="2" t="inlineStr">
        <is>
          <t>Monitoring</t>
        </is>
      </c>
      <c r="C7" s="3" t="inlineStr">
        <is>
          <t>Gate 3, the daily solvency check. Blocks new copies when copy utilisation exceeds financial sustainability. Not regulation-specific.</t>
        </is>
      </c>
    </row>
    <row r="8" ht="16" customHeight="1">
      <c r="B8" s="2" t="inlineStr">
        <is>
          <t>Scoring</t>
        </is>
      </c>
      <c r="C8" s="3" t="inlineStr">
        <is>
          <t>Every answer-to-risk-level mapping. The lookup engine every tab reads.</t>
        </is>
      </c>
    </row>
    <row r="9" ht="16" customHeight="1">
      <c r="B9" s="2" t="inlineStr">
        <is>
          <t>Questions</t>
        </is>
      </c>
      <c r="C9" s="3" t="inlineStr">
        <is>
          <t>The question bank in readable form.</t>
        </is>
      </c>
    </row>
    <row r="10" ht="16" customHeight="1">
      <c r="B10" s="2" t="inlineStr">
        <is>
          <t>Legacy</t>
        </is>
      </c>
      <c r="C10" s="3" t="inlineStr">
        <is>
          <t>The superseded pre-2022 client-side test, for reference.</t>
        </is>
      </c>
    </row>
    <row r="12">
      <c r="B12" s="4" t="inlineStr">
        <is>
          <t>What differs between the five</t>
        </is>
      </c>
    </row>
    <row r="13" ht="26" customHeight="1">
      <c r="B13" s="2" t="inlineStr">
        <is>
          <t>CySEC v24</t>
        </is>
      </c>
      <c r="C13" s="3" t="inlineStr">
        <is>
          <t>CySEC-24. Component 9 in Factor B. Scores 7 of the 8 answers the funnel offers for Q8. Hard block needs all 4 of Q9, Q8, Q10, Q11 to be in range. Check DefaultResult: NotBlocked.</t>
        </is>
      </c>
    </row>
    <row r="14" ht="26" customHeight="1">
      <c r="B14" s="2" t="inlineStr">
        <is>
          <t>FCA v15</t>
        </is>
      </c>
      <c r="C14" s="3" t="inlineStr">
        <is>
          <t>FCA-15. Component 9 not used. Scores 4 of the 8 answers the funnel offers for Q8. Hard block needs all 4 of Q9, Q8, Q10, Q11 to be in range. Check DefaultResult: Blocked.</t>
        </is>
      </c>
    </row>
    <row r="15" ht="26" customHeight="1">
      <c r="B15" s="2" t="inlineStr">
        <is>
          <t>ASIC v9</t>
        </is>
      </c>
      <c r="C15" s="3" t="inlineStr">
        <is>
          <t>ASIC-9. Component 9 not used. Scores 4 of the 8 answers the funnel offers for Q8. Hard block needs all 4 of Q9, Q8, Q10, Q11 to be in range. Check DefaultResult: not set.</t>
        </is>
      </c>
    </row>
    <row r="16" ht="26" customHeight="1">
      <c r="B16" s="2" t="inlineStr">
        <is>
          <t>ASIC GAML v15</t>
        </is>
      </c>
      <c r="C16" s="3" t="inlineStr">
        <is>
          <t>ASICGAML-15. Component 9 not used. Scores 4 of the 8 answers the funnel offers for Q8. Hard block needs all 5 of Q9, Q8, Q10, Q11, Q15 to be in range. Check DefaultResult: NotBlocked.</t>
        </is>
      </c>
    </row>
    <row r="17" ht="26" customHeight="1">
      <c r="B17" s="2" t="inlineStr">
        <is>
          <t>FSRA v10</t>
        </is>
      </c>
      <c r="C17" s="3" t="inlineStr">
        <is>
          <t>FSRA-10. Component 9 not used. Scores 4 of the 8 answers the funnel offers for Q8. Hard block needs all 4 of Q9, Q8, Q10, Q11 to be in range. Check DefaultResult: not set.</t>
        </is>
      </c>
    </row>
    <row r="19" ht="65" customHeight="1">
      <c r="B19" s="5" t="inlineStr">
        <is>
          <t>On FCA</t>
        </is>
      </c>
      <c r="C19" s="3" t="inlineStr">
        <is>
          <t>FCA-15 is the only config that sets this check's DefaultResult to Blocked. It has no effect. Suitability calls BlockCalculator.Calculate, which hands the block-level DefaultResult (NotBlocked, same in all five configs) to every check and returns it when no check applies; Check.DefaultResult is only ever read for nested checks and this block has none. FCA therefore fails open on an unanswered question, exactly like the other four.</t>
        </is>
      </c>
    </row>
    <row r="21">
      <c r="B21" s="4" t="inlineStr">
        <is>
          <t>The formula</t>
        </is>
      </c>
    </row>
    <row r="22">
      <c r="C22" s="6" t="inlineStr">
        <is>
          <t>Factor A = MIN(Component 5, Component 6)</t>
        </is>
      </c>
    </row>
    <row r="23">
      <c r="C23" s="6" t="inlineStr">
        <is>
          <t>Factor B = AVERAGE(Components 1, 2, 3, 4, 7, 8) rounded DOWN</t>
        </is>
      </c>
    </row>
    <row r="24">
      <c r="C24" s="6" t="inlineStr">
        <is>
          <t xml:space="preserve">         under CySEC, Component 9 joins that average</t>
        </is>
      </c>
    </row>
    <row r="25">
      <c r="C25" s="6" t="inlineStr">
        <is>
          <t>ClientRiskLevel = MIN(Factor A, Factor B)</t>
        </is>
      </c>
    </row>
    <row r="26">
      <c r="C26" s="6" t="inlineStr">
        <is>
          <t>Minimal|Low -&gt; 3    Medium -&gt; 6    MediumHigh -&gt; 8    High -&gt; 10</t>
        </is>
      </c>
    </row>
    <row r="27">
      <c r="C27" s="6" t="inlineStr">
        <is>
          <t>A user may copy any trader or portfolio whose risk score is at or below that number.</t>
        </is>
      </c>
    </row>
    <row r="29" ht="26" customHeight="1">
      <c r="B29" s="2" t="inlineStr">
        <is>
          <t>Level ordinals</t>
        </is>
      </c>
      <c r="C29" s="3" t="inlineStr">
        <is>
          <t>Minimal = 0, Low = 1, Medium = 2, MediumHigh = 3, High = 4. Unanswered components default to Medium.</t>
        </is>
      </c>
    </row>
    <row r="31">
      <c r="B31" s="4" t="inlineStr">
        <is>
          <t>Read before relying on this</t>
        </is>
      </c>
    </row>
    <row r="32" ht="39" customHeight="1">
      <c r="B32" s="5" t="inlineStr">
        <is>
          <t>Verified against the service</t>
        </is>
      </c>
      <c r="C32" s="3" t="inlineStr">
        <is>
          <t>Every formula, weight and band here is checked against the KYCAnalyzer source and the CySEC-24 configuration the service's own tests load. The 14 test vectors in WeightQuestionAnswerCalculatorTests all reproduce exactly.</t>
        </is>
      </c>
    </row>
    <row r="33" ht="39" customHeight="1">
      <c r="B33" s="5" t="inlineStr">
        <is>
          <t>Component 9 is CySEC only</t>
        </is>
      </c>
      <c r="C33" s="3" t="inlineStr">
        <is>
          <t>The MiCA crypto block entered Factor B in CySEC-20. FCA, FSRA, ASIC and ASIC GAML average six components, not seven, so their Factor B row lists six. Use the tab that matches the user's regulation - the same answers give different outcomes across tabs.</t>
        </is>
      </c>
    </row>
    <row r="34" ht="39" customHeight="1">
      <c r="B34" s="5" t="inlineStr">
        <is>
          <t>Gates this does not model</t>
        </is>
      </c>
      <c r="C34" s="3" t="inlineStr">
        <is>
          <t>Suitability is skipped below verification level 2, and eToro-country staff are forced to High when the feature flag is on. Crypto restrictions, professional-copy rules, MiCA documents and first-copy terms can also block a copy independently of suitability.</t>
        </is>
      </c>
    </row>
    <row r="35" ht="39" customHeight="1">
      <c r="B35" s="5" t="inlineStr">
        <is>
          <t>Monitoring midpoints</t>
        </is>
      </c>
      <c r="C35" s="3" t="inlineStr">
        <is>
          <t>The band midpoints on the Monitoring sheet match the service's CCM answer-to-amount mapping, but the weightings x, y and z are read from CCM at runtime and could be retuned without a code change.</t>
        </is>
      </c>
    </row>
    <row r="37" ht="26" customHeight="1">
      <c r="B37" s="2" t="inlineStr">
        <is>
          <t>Source</t>
        </is>
      </c>
      <c r="C37" s="3" t="inlineStr">
        <is>
          <t>rev-eng/suitability-test/ in the etoro-assets repository. Regenerate this file with build_workbook.py.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0" customWidth="1" min="3" max="3"/>
    <col width="16" customWidth="1" min="4" max="4"/>
    <col width="10" customWidth="1" min="5" max="5"/>
    <col width="34" customWidth="1" min="6" max="6"/>
  </cols>
  <sheetData>
    <row r="1">
      <c r="A1" s="7" t="inlineStr">
        <is>
          <t>Suitability calculator - CySEC</t>
        </is>
      </c>
    </row>
    <row r="2">
      <c r="A2" s="8" t="inlineStr">
        <is>
          <t>Answer the yellow cells; everything else is calculated. This sheet models CySEC-24, the live configuration for CySEC. Each regulation gets its own sheet because the scored answers and the hard block differ.</t>
        </is>
      </c>
    </row>
    <row r="4">
      <c r="A4" s="4" t="inlineStr">
        <is>
          <t>STEP 1 - answer the questions</t>
        </is>
      </c>
    </row>
    <row r="5" ht="22" customHeight="1">
      <c r="A5" s="9" t="inlineStr">
        <is>
          <t>Q</t>
        </is>
      </c>
      <c r="B5" s="9" t="inlineStr">
        <is>
          <t>Question</t>
        </is>
      </c>
      <c r="C5" s="9" t="inlineStr">
        <is>
          <t>Your answer</t>
        </is>
      </c>
      <c r="D5" s="9" t="inlineStr">
        <is>
          <t>Risk level</t>
        </is>
      </c>
      <c r="E5" s="9" t="inlineStr">
        <is>
          <t>Weight</t>
        </is>
      </c>
      <c r="F5" s="9" t="inlineStr">
        <is>
          <t>Feeds</t>
        </is>
      </c>
    </row>
    <row r="6">
      <c r="A6" s="10" t="inlineStr">
        <is>
          <t>Q33</t>
        </is>
      </c>
      <c r="B6" s="11" t="inlineStr">
        <is>
          <t>How often have you traded stocks?</t>
        </is>
      </c>
      <c r="C6" s="12" t="inlineStr">
        <is>
          <t>0-10 times</t>
        </is>
      </c>
      <c r="D6" s="11">
        <f>IFERROR(VLOOKUP("Equities|"&amp;C6,Scoring!$A$5:$E$89,4,FALSE),"?")</f>
        <v/>
      </c>
      <c r="E6" s="13">
        <f>IFERROR(VLOOKUP("Equities|"&amp;C6,Scoring!$A$5:$E$89,5,FALSE),"")</f>
        <v/>
      </c>
      <c r="F6" s="10" t="inlineStr">
        <is>
          <t>Component 1</t>
        </is>
      </c>
    </row>
    <row r="7">
      <c r="A7" s="10" t="inlineStr">
        <is>
          <t>Q34</t>
        </is>
      </c>
      <c r="B7" s="11" t="inlineStr">
        <is>
          <t>How often have you traded crypto?</t>
        </is>
      </c>
      <c r="C7" s="12" t="inlineStr">
        <is>
          <t>Never traded</t>
        </is>
      </c>
      <c r="D7" s="11">
        <f>IFERROR(VLOOKUP("Crypto|"&amp;C7,Scoring!$A$5:$E$89,4,FALSE),"?")</f>
        <v/>
      </c>
      <c r="E7" s="13">
        <f>IFERROR(VLOOKUP("Crypto|"&amp;C7,Scoring!$A$5:$E$89,5,FALSE),"")</f>
        <v/>
      </c>
      <c r="F7" s="10" t="inlineStr">
        <is>
          <t>Component 1</t>
        </is>
      </c>
    </row>
    <row r="8">
      <c r="A8" s="10" t="inlineStr">
        <is>
          <t>Q35</t>
        </is>
      </c>
      <c r="B8" s="11" t="inlineStr">
        <is>
          <t>How often have you traded leveraged CFDs?</t>
        </is>
      </c>
      <c r="C8" s="12" t="inlineStr">
        <is>
          <t>Never traded</t>
        </is>
      </c>
      <c r="D8" s="11">
        <f>IFERROR(VLOOKUP("LeveragedCfd|"&amp;C8,Scoring!$A$5:$E$89,4,FALSE),"?")</f>
        <v/>
      </c>
      <c r="E8" s="13">
        <f>IFERROR(VLOOKUP("LeveragedCfd|"&amp;C8,Scoring!$A$5:$E$89,5,FALSE),"")</f>
        <v/>
      </c>
      <c r="F8" s="10" t="inlineStr">
        <is>
          <t>Component 1</t>
        </is>
      </c>
    </row>
    <row r="9">
      <c r="A9" s="10" t="inlineStr">
        <is>
          <t>Q47</t>
        </is>
      </c>
      <c r="B9" s="11" t="inlineStr">
        <is>
          <t>How much have you invested in stocks?</t>
        </is>
      </c>
      <c r="C9" s="12" t="inlineStr">
        <is>
          <t>$1 - $500</t>
        </is>
      </c>
      <c r="D9" s="11">
        <f>IFERROR(VLOOKUP("EquitiesInvestedAmount|"&amp;C9,Scoring!$A$5:$E$89,4,FALSE),"?")</f>
        <v/>
      </c>
      <c r="E9" s="13">
        <f>IFERROR(VLOOKUP("EquitiesInvestedAmount|"&amp;C9,Scoring!$A$5:$E$89,5,FALSE),"")</f>
        <v/>
      </c>
      <c r="F9" s="10" t="inlineStr">
        <is>
          <t>Component 2</t>
        </is>
      </c>
    </row>
    <row r="10">
      <c r="A10" s="10" t="inlineStr">
        <is>
          <t>Q48</t>
        </is>
      </c>
      <c r="B10" s="11" t="inlineStr">
        <is>
          <t>How much have you invested in crypto?</t>
        </is>
      </c>
      <c r="C10" s="12" t="inlineStr">
        <is>
          <t>Never</t>
        </is>
      </c>
      <c r="D10" s="11">
        <f>IFERROR(VLOOKUP("CryptoInvestedAmount|"&amp;C10,Scoring!$A$5:$E$89,4,FALSE),"?")</f>
        <v/>
      </c>
      <c r="E10" s="13">
        <f>IFERROR(VLOOKUP("CryptoInvestedAmount|"&amp;C10,Scoring!$A$5:$E$89,5,FALSE),"")</f>
        <v/>
      </c>
      <c r="F10" s="10" t="inlineStr">
        <is>
          <t>Component 2</t>
        </is>
      </c>
    </row>
    <row r="11">
      <c r="A11" s="10" t="inlineStr">
        <is>
          <t>Q45</t>
        </is>
      </c>
      <c r="B11" s="11" t="inlineStr">
        <is>
          <t>How much have you invested in leveraged CFDs?</t>
        </is>
      </c>
      <c r="C11" s="12" t="inlineStr">
        <is>
          <t>Never</t>
        </is>
      </c>
      <c r="D11" s="11">
        <f>IFERROR(VLOOKUP("LeveragedCfdInvestedAmount|"&amp;C11,Scoring!$A$5:$E$89,4,FALSE),"?")</f>
        <v/>
      </c>
      <c r="E11" s="13">
        <f>IFERROR(VLOOKUP("LeveragedCfdInvestedAmount|"&amp;C11,Scoring!$A$5:$E$89,5,FALSE),"")</f>
        <v/>
      </c>
      <c r="F11" s="10" t="inlineStr">
        <is>
          <t>Component 2</t>
        </is>
      </c>
    </row>
    <row r="12">
      <c r="A12" s="10" t="inlineStr">
        <is>
          <t>Q3</t>
        </is>
      </c>
      <c r="B12" s="11" t="inlineStr">
        <is>
          <t>What relevant financial knowledge do you have?</t>
        </is>
      </c>
      <c r="C12" s="12" t="inlineStr">
        <is>
          <t>No financial knowledge</t>
        </is>
      </c>
      <c r="D12" s="11">
        <f>IFERROR(VLOOKUP("TradingKnowledge|"&amp;C12,Scoring!$A$5:$E$89,4,FALSE),"?")</f>
        <v/>
      </c>
      <c r="E12" s="13">
        <f>IFERROR(VLOOKUP("TradingKnowledge|"&amp;C12,Scoring!$A$5:$E$89,5,FALSE),"")</f>
        <v/>
      </c>
      <c r="F12" s="10" t="inlineStr">
        <is>
          <t>Component 3</t>
        </is>
      </c>
    </row>
    <row r="13">
      <c r="A13" s="10" t="inlineStr">
        <is>
          <t>Q5</t>
        </is>
      </c>
      <c r="B13" s="11" t="inlineStr">
        <is>
          <t>How long do you typically hold a position?</t>
        </is>
      </c>
      <c r="C13" s="12" t="inlineStr">
        <is>
          <t>A few weeks up to several months</t>
        </is>
      </c>
      <c r="D13" s="11">
        <f>IFERROR(VLOOKUP("TradingStrategy|"&amp;C13,Scoring!$A$5:$E$89,4,FALSE),"?")</f>
        <v/>
      </c>
      <c r="E13" s="13">
        <f>IFERROR(VLOOKUP("TradingStrategy|"&amp;C13,Scoring!$A$5:$E$89,5,FALSE),"")</f>
        <v/>
      </c>
      <c r="F13" s="10" t="inlineStr">
        <is>
          <t>Component 4</t>
        </is>
      </c>
    </row>
    <row r="14">
      <c r="A14" s="10" t="inlineStr">
        <is>
          <t>Q8</t>
        </is>
      </c>
      <c r="B14" s="11" t="inlineStr">
        <is>
          <t>What is your primary purpose for trading?</t>
        </is>
      </c>
      <c r="C14" s="12" t="inlineStr">
        <is>
          <t>Additional revenues</t>
        </is>
      </c>
      <c r="D14" s="11">
        <f>IF(OR(C14="Crypto trading and/or conversion"),"Medium (unscored - default)",IFERROR(VLOOKUP("TradingPurpose|"&amp;C14,Scoring!$A$5:$E$89,4,FALSE),"?"))</f>
        <v/>
      </c>
      <c r="E14" s="13">
        <f>IF(OR(C14="Crypto trading and/or conversion"),2,IFERROR(VLOOKUP("TradingPurpose|"&amp;C14,Scoring!$A$5:$E$89,5,FALSE),""))</f>
        <v/>
      </c>
      <c r="F14" s="10" t="inlineStr">
        <is>
          <t>Component 5</t>
        </is>
      </c>
    </row>
    <row r="15">
      <c r="A15" s="10" t="inlineStr">
        <is>
          <t>Q9</t>
        </is>
      </c>
      <c r="B15" s="11" t="inlineStr">
        <is>
          <t>What gain and loss are you comfortable with?</t>
        </is>
      </c>
      <c r="C15" s="12" t="inlineStr">
        <is>
          <t>20% / -12%</t>
        </is>
      </c>
      <c r="D15" s="11">
        <f>IFERROR(VLOOKUP("RiskAppetite|"&amp;C15,Scoring!$A$5:$E$89,4,FALSE),"?")</f>
        <v/>
      </c>
      <c r="E15" s="13">
        <f>IFERROR(VLOOKUP("RiskAppetite|"&amp;C15,Scoring!$A$5:$E$89,5,FALSE),"")</f>
        <v/>
      </c>
      <c r="F15" s="10" t="inlineStr">
        <is>
          <t>Component 6</t>
        </is>
      </c>
    </row>
    <row r="16">
      <c r="A16" s="10" t="inlineStr">
        <is>
          <t>Q15</t>
        </is>
      </c>
      <c r="B16" s="11" t="inlineStr">
        <is>
          <t>What is your main source of income?</t>
        </is>
      </c>
      <c r="C16" s="12" t="inlineStr">
        <is>
          <t>Salary</t>
        </is>
      </c>
      <c r="D16" s="11">
        <f>IFERROR(VLOOKUP("IncomeSource|"&amp;C16,Scoring!$A$5:$E$89,4,FALSE),"?")</f>
        <v/>
      </c>
      <c r="E16" s="13">
        <f>IFERROR(VLOOKUP("IncomeSource|"&amp;C16,Scoring!$A$5:$E$89,5,FALSE),"")</f>
        <v/>
      </c>
      <c r="F16" s="10" t="inlineStr">
        <is>
          <t>Component 7</t>
        </is>
      </c>
    </row>
    <row r="17">
      <c r="A17" s="10" t="inlineStr">
        <is>
          <t>Q10</t>
        </is>
      </c>
      <c r="B17" s="11" t="inlineStr">
        <is>
          <t>What is your net annual income?</t>
        </is>
      </c>
      <c r="C17" s="12" t="inlineStr">
        <is>
          <t>$50K - $200K</t>
        </is>
      </c>
      <c r="D17" s="10" t="inlineStr">
        <is>
          <t>not scored</t>
        </is>
      </c>
      <c r="E17" s="13">
        <f>IFERROR(VLOOKUP("AnnualIncome|"&amp;C17,Scoring!$A$5:$E$89,5,FALSE),"")</f>
        <v/>
      </c>
      <c r="F17" s="10" t="inlineStr">
        <is>
          <t>Hard block only</t>
        </is>
      </c>
    </row>
    <row r="18">
      <c r="A18" s="10" t="inlineStr">
        <is>
          <t>Q11</t>
        </is>
      </c>
      <c r="B18" s="11" t="inlineStr">
        <is>
          <t>What are your total cash and liquid assets?</t>
        </is>
      </c>
      <c r="C18" s="12" t="inlineStr">
        <is>
          <t>$50K - $200K</t>
        </is>
      </c>
      <c r="D18" s="10" t="inlineStr">
        <is>
          <t>not scored</t>
        </is>
      </c>
      <c r="E18" s="13">
        <f>IFERROR(VLOOKUP("LiquidAssets|"&amp;C18,Scoring!$A$5:$E$89,5,FALSE),"")</f>
        <v/>
      </c>
      <c r="F18" s="10" t="inlineStr">
        <is>
          <t>Hard block only</t>
        </is>
      </c>
    </row>
    <row r="20">
      <c r="B20" s="14" t="inlineStr">
        <is>
          <t>CySEC-24 scores 7 of the 8 answers the funnel offers for Q8. The 1 it omits - Crypto trading and/or conversion - are still selectable in the funnel here, and each one silently takes the default risk level, Medium. Pick one and the risk-level cell says so.</t>
        </is>
      </c>
    </row>
    <row r="21"/>
    <row r="23">
      <c r="A23" s="4" t="inlineStr">
        <is>
          <t>STEP 2 - Q23 complex-products knowledge assessment</t>
        </is>
      </c>
    </row>
    <row r="24">
      <c r="B24" s="14" t="inlineStr">
        <is>
          <t>Six true/false statements shown as one multi-select. Mark Yes for each statement you would tick. Two are factually true and carry +2 - the analyzer enum annotates exactly those two as the correct answers - and four are false and carry -2.</t>
        </is>
      </c>
    </row>
    <row r="26">
      <c r="B26" s="14" t="inlineStr">
        <is>
          <t>Every statement is judged, whether or not it is ticked. WeightQuestionAnswerCalculator.GetScoreByAnswerIds walks the whole group and does score += weight for a ticked answer, score -= weight for an unticked one, so ticking a true statement or leaving a false one alone both earn +2 and the opposite costs -2. The total runs -12 to +12 and no statement can contribute 0.    The one exception: tick nothing and the group is skipped entirely, so component 8 falls back to the default risk level, Medium. Q23 is IsRequiredForCopy=false, so a user can leave it alone and still copy.</t>
        </is>
      </c>
    </row>
    <row r="27"/>
    <row r="28"/>
    <row r="29" ht="22" customHeight="1">
      <c r="A29" s="9" t="inlineStr">
        <is>
          <t>ID</t>
        </is>
      </c>
      <c r="B29" s="9" t="inlineStr">
        <is>
          <t>Statement</t>
        </is>
      </c>
      <c r="C29" s="9" t="inlineStr">
        <is>
          <t>Selected?</t>
        </is>
      </c>
      <c r="D29" s="9" t="inlineStr">
        <is>
          <t>Weight</t>
        </is>
      </c>
      <c r="E29" s="9" t="inlineStr">
        <is>
          <t>Contribution</t>
        </is>
      </c>
      <c r="F29" s="9" t="inlineStr">
        <is>
          <t>Answer (config name)</t>
        </is>
      </c>
    </row>
    <row r="30" ht="39" customHeight="1">
      <c r="A30" s="15" t="n">
        <v>142</v>
      </c>
      <c r="B30" s="16" t="inlineStr">
        <is>
          <t>I deposit and invest $1,000 to open a position with $20,000 (using leverage of 20x). If the market moves 5% against my position, I'll lose my investment</t>
        </is>
      </c>
      <c r="C30" s="12" t="inlineStr">
        <is>
          <t>Yes</t>
        </is>
      </c>
      <c r="D30" s="15" t="inlineStr">
        <is>
          <t>+2</t>
        </is>
      </c>
      <c r="E30" s="13">
        <f>IF(C30="Yes",2,-2)</f>
        <v/>
      </c>
      <c r="F30" s="17" t="inlineStr">
        <is>
          <t>NewerLeverage</t>
        </is>
      </c>
    </row>
    <row r="31" ht="52" customHeight="1">
      <c r="A31" s="15" t="n">
        <v>144</v>
      </c>
      <c r="B31" s="16" t="inlineStr">
        <is>
          <t>If the total equity (i.e. the combined value of positions and available cash) in my account falls below the required margin, a "margin call" will liquidate my positions</t>
        </is>
      </c>
      <c r="C31" s="12" t="inlineStr">
        <is>
          <t>No</t>
        </is>
      </c>
      <c r="D31" s="15" t="inlineStr">
        <is>
          <t>+2</t>
        </is>
      </c>
      <c r="E31" s="13">
        <f>IF(C31="Yes",2,-2)</f>
        <v/>
      </c>
      <c r="F31" s="17" t="inlineStr">
        <is>
          <t>NewerMarginCall</t>
        </is>
      </c>
    </row>
    <row r="32" ht="39" customHeight="1">
      <c r="A32" s="15" t="n">
        <v>143</v>
      </c>
      <c r="B32" s="16" t="inlineStr">
        <is>
          <t>If the price of Google's stock rises on NASDAQ, the price of my Google contract for difference (CFD) will go down</t>
        </is>
      </c>
      <c r="C32" s="12" t="inlineStr">
        <is>
          <t>Yes</t>
        </is>
      </c>
      <c r="D32" s="15" t="inlineStr">
        <is>
          <t>-2</t>
        </is>
      </c>
      <c r="E32" s="13">
        <f>IF(C32="Yes",-2,2)</f>
        <v/>
      </c>
      <c r="F32" s="17" t="inlineStr">
        <is>
          <t>NewerCfd</t>
        </is>
      </c>
    </row>
    <row r="33" ht="26" customHeight="1">
      <c r="A33" s="15" t="n">
        <v>145</v>
      </c>
      <c r="B33" s="16" t="inlineStr">
        <is>
          <t>My open positions will remain open even when a stop loss is triggered</t>
        </is>
      </c>
      <c r="C33" s="12" t="inlineStr">
        <is>
          <t>No</t>
        </is>
      </c>
      <c r="D33" s="15" t="inlineStr">
        <is>
          <t>-2</t>
        </is>
      </c>
      <c r="E33" s="13">
        <f>IF(C33="Yes",-2,2)</f>
        <v/>
      </c>
      <c r="F33" s="17" t="inlineStr">
        <is>
          <t>NewerStopLossTrigger</t>
        </is>
      </c>
    </row>
    <row r="34" ht="26" customHeight="1">
      <c r="A34" s="15" t="n">
        <v>146</v>
      </c>
      <c r="B34" s="16" t="inlineStr">
        <is>
          <t>If the market gaps through my stop loss, my position will close at the exact stop loss level</t>
        </is>
      </c>
      <c r="C34" s="12" t="inlineStr">
        <is>
          <t>No</t>
        </is>
      </c>
      <c r="D34" s="15" t="inlineStr">
        <is>
          <t>-2</t>
        </is>
      </c>
      <c r="E34" s="13">
        <f>IF(C34="Yes",-2,2)</f>
        <v/>
      </c>
      <c r="F34" s="17" t="inlineStr">
        <is>
          <t>NewerStopLossGapThrough</t>
        </is>
      </c>
    </row>
    <row r="35" ht="39" customHeight="1">
      <c r="A35" s="15" t="n">
        <v>212</v>
      </c>
      <c r="B35" s="16" t="inlineStr">
        <is>
          <t>I will be able to sell my OTC complex products (CFD, TRS) outside of eToro platform    [RETIRED - no longer asked]</t>
        </is>
      </c>
      <c r="C35" s="18" t="inlineStr">
        <is>
          <t>No</t>
        </is>
      </c>
      <c r="D35" s="15" t="inlineStr">
        <is>
          <t>-2</t>
        </is>
      </c>
      <c r="E35" s="13">
        <f>IF(C35="Yes",-2,2)</f>
        <v/>
      </c>
      <c r="F35" s="17" t="inlineStr">
        <is>
          <t>NewerCfdTrs</t>
        </is>
      </c>
    </row>
    <row r="36">
      <c r="A36" s="19" t="n"/>
      <c r="B36" s="20" t="inlineStr">
        <is>
          <t>Total assessment score</t>
        </is>
      </c>
      <c r="C36" s="19" t="n"/>
      <c r="D36" s="19" t="n"/>
      <c r="E36" s="21">
        <f>SUM(E30:E35)</f>
        <v/>
      </c>
      <c r="F36" s="10">
        <f>IF(COUNTIF($C$30:$C$35,"Yes")=0,"nothing ticked - score not applied, component 8 falls back to Medium","reachable in production: -8 to +12")</f>
        <v/>
      </c>
    </row>
    <row r="37">
      <c r="B37" s="14" t="inlineStr">
        <is>
          <t>The last statement is scored by every live configuration but is no longer in the question catalogue, so no real user can tick it. It therefore contributes a constant +2 to everyone, which is why the reachable range is -8 to +12 rather than -12 to +12 and why High needs 4 of the 5 answerable statements rather than 5 of 6. It changes no band outcome - every threshold is 4 apart and the offset is 2. Leave it on No to model production; it stays editable only so the analyzer's own test vectors reproduce here.</t>
        </is>
      </c>
    </row>
    <row r="38"/>
    <row r="39">
      <c r="B39" s="5">
        <f>IF(--(C35="Yes")&gt;0,"Warning: a retired statement is ticked. No production user can do that - the score below is reachable only in the analyzer unit tests.","")</f>
        <v/>
      </c>
    </row>
    <row r="41">
      <c r="A41" s="4" t="inlineStr">
        <is>
          <t>STEP 3 - MiCA crypto knowledge (component 9)</t>
        </is>
      </c>
    </row>
    <row r="42">
      <c r="B42" s="14" t="inlineStr">
        <is>
          <t>Component 9 entered Factor B in CySEC-20 and exists under no other regulation. Each question scores High for the one informed answer and Low for the two wrong ones; the five are averaged and rounded down. An unanswered question falls back to the component default, Low.</t>
        </is>
      </c>
    </row>
    <row r="43"/>
    <row r="44" ht="22" customHeight="1">
      <c r="A44" s="9" t="inlineStr"/>
      <c r="B44" s="9" t="inlineStr">
        <is>
          <t>Question</t>
        </is>
      </c>
      <c r="C44" s="9" t="inlineStr">
        <is>
          <t>Answer</t>
        </is>
      </c>
      <c r="D44" s="9" t="inlineStr">
        <is>
          <t>Risk level</t>
        </is>
      </c>
      <c r="E44" s="9" t="inlineStr">
        <is>
          <t>Weight</t>
        </is>
      </c>
      <c r="F44" s="9" t="inlineStr">
        <is>
          <t>Config name</t>
        </is>
      </c>
    </row>
    <row r="45">
      <c r="A45" s="19" t="n"/>
      <c r="B45" s="16" t="inlineStr">
        <is>
          <t>Crypto markets are highly volatile. This means:</t>
        </is>
      </c>
      <c r="C45" s="12" t="inlineStr">
        <is>
          <t>It can lead to significant gains or losses</t>
        </is>
      </c>
      <c r="D45" s="11">
        <f>IFERROR(VLOOKUP("MiCACryptoAssessmentHighVolatility|"&amp;C45,Scoring!$A$5:$E$89,4,FALSE),"?")</f>
        <v/>
      </c>
      <c r="E45" s="13">
        <f>IFERROR(VLOOKUP("MiCACryptoAssessmentHighVolatility|"&amp;C45,Scoring!$A$5:$E$89,5,FALSE),1)</f>
        <v/>
      </c>
      <c r="F45" s="17" t="inlineStr">
        <is>
          <t>MiCACryptoAssessmentHighVolatility</t>
        </is>
      </c>
    </row>
    <row r="46">
      <c r="A46" s="19" t="n"/>
      <c r="B46" s="16" t="inlineStr">
        <is>
          <t>Which of these best protects you from cyber risk?</t>
        </is>
      </c>
      <c r="C46" s="12" t="inlineStr">
        <is>
          <t>Enabling two-factor authentication</t>
        </is>
      </c>
      <c r="D46" s="11">
        <f>IFERROR(VLOOKUP("MiCACryptoAssessmentCyberRisks|"&amp;C46,Scoring!$A$5:$E$89,4,FALSE),"?")</f>
        <v/>
      </c>
      <c r="E46" s="13">
        <f>IFERROR(VLOOKUP("MiCACryptoAssessmentCyberRisks|"&amp;C46,Scoring!$A$5:$E$89,5,FALSE),1)</f>
        <v/>
      </c>
      <c r="F46" s="17" t="inlineStr">
        <is>
          <t>MiCACryptoAssessmentCyberRisks</t>
        </is>
      </c>
    </row>
    <row r="47">
      <c r="A47" s="19" t="n"/>
      <c r="B47" s="16" t="inlineStr">
        <is>
          <t>If you lose crypto assets, the law:</t>
        </is>
      </c>
      <c r="C47" s="12" t="inlineStr">
        <is>
          <t>Does not cover the loss</t>
        </is>
      </c>
      <c r="D47" s="11">
        <f>IFERROR(VLOOKUP("MiCACryptoAssessmentRecoverLoss|"&amp;C47,Scoring!$A$5:$E$89,4,FALSE),"?")</f>
        <v/>
      </c>
      <c r="E47" s="13">
        <f>IFERROR(VLOOKUP("MiCACryptoAssessmentRecoverLoss|"&amp;C47,Scoring!$A$5:$E$89,5,FALSE),1)</f>
        <v/>
      </c>
      <c r="F47" s="17" t="inlineStr">
        <is>
          <t>MiCACryptoAssessmentRecoverLoss</t>
        </is>
      </c>
    </row>
    <row r="48">
      <c r="A48" s="19" t="n"/>
      <c r="B48" s="16" t="inlineStr">
        <is>
          <t>The risk of investing in crypto is:</t>
        </is>
      </c>
      <c r="C48" s="12" t="inlineStr">
        <is>
          <t>You risk losing your whole investment</t>
        </is>
      </c>
      <c r="D48" s="11">
        <f>IFERROR(VLOOKUP("MiCACryptoAssessmentInvestingRisks|"&amp;C48,Scoring!$A$5:$E$89,4,FALSE),"?")</f>
        <v/>
      </c>
      <c r="E48" s="13">
        <f>IFERROR(VLOOKUP("MiCACryptoAssessmentInvestingRisks|"&amp;C48,Scoring!$A$5:$E$89,5,FALSE),1)</f>
        <v/>
      </c>
      <c r="F48" s="17" t="inlineStr">
        <is>
          <t>MiCACryptoAssessmentInvestingRisks</t>
        </is>
      </c>
    </row>
    <row r="49">
      <c r="A49" s="19" t="n"/>
      <c r="B49" s="16" t="inlineStr">
        <is>
          <t>A private key is:</t>
        </is>
      </c>
      <c r="C49" s="12" t="inlineStr">
        <is>
          <t>A secret code</t>
        </is>
      </c>
      <c r="D49" s="11">
        <f>IFERROR(VLOOKUP("MiCACryptoAssessmentPrivateKey|"&amp;C49,Scoring!$A$5:$E$89,4,FALSE),"?")</f>
        <v/>
      </c>
      <c r="E49" s="13">
        <f>IFERROR(VLOOKUP("MiCACryptoAssessmentPrivateKey|"&amp;C49,Scoring!$A$5:$E$89,5,FALSE),1)</f>
        <v/>
      </c>
      <c r="F49" s="17" t="inlineStr">
        <is>
          <t>MiCACryptoAssessmentPrivateKey</t>
        </is>
      </c>
    </row>
    <row r="51">
      <c r="A51" s="4" t="inlineStr">
        <is>
          <t>STEP 4 - components</t>
        </is>
      </c>
    </row>
    <row r="52" ht="22" customHeight="1">
      <c r="A52" s="9" t="inlineStr"/>
      <c r="B52" s="9" t="inlineStr">
        <is>
          <t>Component</t>
        </is>
      </c>
      <c r="C52" s="9" t="inlineStr">
        <is>
          <t>Rule</t>
        </is>
      </c>
      <c r="D52" s="9" t="inlineStr">
        <is>
          <t>Risk level</t>
        </is>
      </c>
      <c r="E52" s="9" t="inlineStr">
        <is>
          <t>Weight</t>
        </is>
      </c>
      <c r="F52" s="9" t="inlineStr">
        <is>
          <t>Factor</t>
        </is>
      </c>
    </row>
    <row r="53">
      <c r="A53" s="19" t="n"/>
      <c r="B53" s="11" t="inlineStr">
        <is>
          <t>Component 1 - experience frequency</t>
        </is>
      </c>
      <c r="C53" s="10" t="inlineStr">
        <is>
          <t>MAX(stocks, crypto, CFD)</t>
        </is>
      </c>
      <c r="D53" s="11">
        <f>IFERROR(VLOOKUP(E53,Scoring!$A$94:$C$98,2,FALSE),"")</f>
        <v/>
      </c>
      <c r="E53" s="21">
        <f>MAX(E6,E7,E8)</f>
        <v/>
      </c>
      <c r="F53" s="10" t="inlineStr">
        <is>
          <t>Factor B</t>
        </is>
      </c>
    </row>
    <row r="54">
      <c r="A54" s="19" t="n"/>
      <c r="B54" s="11" t="inlineStr">
        <is>
          <t>Component 2 - experience volume</t>
        </is>
      </c>
      <c r="C54" s="10" t="inlineStr">
        <is>
          <t>MAX(stocks, crypto, CFD)</t>
        </is>
      </c>
      <c r="D54" s="11">
        <f>IFERROR(VLOOKUP(E54,Scoring!$A$94:$C$98,2,FALSE),"")</f>
        <v/>
      </c>
      <c r="E54" s="21">
        <f>MAX(E9,E10,E11)</f>
        <v/>
      </c>
      <c r="F54" s="10" t="inlineStr">
        <is>
          <t>Factor B</t>
        </is>
      </c>
    </row>
    <row r="55">
      <c r="A55" s="19" t="n"/>
      <c r="B55" s="11" t="inlineStr">
        <is>
          <t>Component 3 - trading knowledge</t>
        </is>
      </c>
      <c r="C55" s="10" t="inlineStr">
        <is>
          <t>single question</t>
        </is>
      </c>
      <c r="D55" s="11">
        <f>IFERROR(VLOOKUP(E55,Scoring!$A$94:$C$98,2,FALSE),"")</f>
        <v/>
      </c>
      <c r="E55" s="21">
        <f>E12</f>
        <v/>
      </c>
      <c r="F55" s="10" t="inlineStr">
        <is>
          <t>Factor B</t>
        </is>
      </c>
    </row>
    <row r="56">
      <c r="A56" s="19" t="n"/>
      <c r="B56" s="11" t="inlineStr">
        <is>
          <t>Component 4 - trading strategy</t>
        </is>
      </c>
      <c r="C56" s="10" t="inlineStr">
        <is>
          <t>single question</t>
        </is>
      </c>
      <c r="D56" s="11">
        <f>IFERROR(VLOOKUP(E56,Scoring!$A$94:$C$98,2,FALSE),"")</f>
        <v/>
      </c>
      <c r="E56" s="21">
        <f>E13</f>
        <v/>
      </c>
      <c r="F56" s="10" t="inlineStr">
        <is>
          <t>Factor B</t>
        </is>
      </c>
    </row>
    <row r="57">
      <c r="A57" s="19" t="n"/>
      <c r="B57" s="11" t="inlineStr">
        <is>
          <t>Component 5 - purpose of trading</t>
        </is>
      </c>
      <c r="C57" s="10" t="inlineStr">
        <is>
          <t>single question</t>
        </is>
      </c>
      <c r="D57" s="11">
        <f>IFERROR(VLOOKUP(E57,Scoring!$A$94:$C$98,2,FALSE),"")</f>
        <v/>
      </c>
      <c r="E57" s="21">
        <f>E14</f>
        <v/>
      </c>
      <c r="F57" s="10" t="inlineStr">
        <is>
          <t>Factor A</t>
        </is>
      </c>
    </row>
    <row r="58">
      <c r="A58" s="19" t="n"/>
      <c r="B58" s="11" t="inlineStr">
        <is>
          <t>Component 6 - risk appetite</t>
        </is>
      </c>
      <c r="C58" s="10" t="inlineStr">
        <is>
          <t>single question</t>
        </is>
      </c>
      <c r="D58" s="11">
        <f>IFERROR(VLOOKUP(E58,Scoring!$A$94:$C$98,2,FALSE),"")</f>
        <v/>
      </c>
      <c r="E58" s="21">
        <f>E15</f>
        <v/>
      </c>
      <c r="F58" s="10" t="inlineStr">
        <is>
          <t>Factor A</t>
        </is>
      </c>
    </row>
    <row r="59">
      <c r="A59" s="19" t="n"/>
      <c r="B59" s="11" t="inlineStr">
        <is>
          <t>Component 7 - source of income</t>
        </is>
      </c>
      <c r="C59" s="10" t="inlineStr">
        <is>
          <t>single question</t>
        </is>
      </c>
      <c r="D59" s="11">
        <f>IFERROR(VLOOKUP(E59,Scoring!$A$94:$C$98,2,FALSE),"")</f>
        <v/>
      </c>
      <c r="E59" s="21">
        <f>E16</f>
        <v/>
      </c>
      <c r="F59" s="10" t="inlineStr">
        <is>
          <t>Factor B</t>
        </is>
      </c>
    </row>
    <row r="60">
      <c r="A60" s="19" t="n"/>
      <c r="B60" s="11" t="inlineStr">
        <is>
          <t>Component 8 - knowledge assessment</t>
        </is>
      </c>
      <c r="C60" s="10" t="inlineStr">
        <is>
          <t>score -&gt; band, Medium if nothing ticked</t>
        </is>
      </c>
      <c r="D60" s="11">
        <f>IFERROR(VLOOKUP(E60,Scoring!$A$94:$C$98,2,FALSE),"")</f>
        <v/>
      </c>
      <c r="E60" s="21">
        <f>IF(COUNTIF($C$30:$C$35,"Yes")=0,2,LOOKUP(E36,Scoring!$A$113:$A$116,Scoring!$B$113:$B$116))</f>
        <v/>
      </c>
      <c r="F60" s="10" t="inlineStr">
        <is>
          <t>Factor B</t>
        </is>
      </c>
    </row>
    <row r="61">
      <c r="A61" s="19" t="n"/>
      <c r="B61" s="11" t="inlineStr">
        <is>
          <t>Component 9 - MiCA crypto assessment</t>
        </is>
      </c>
      <c r="C61" s="10" t="inlineStr">
        <is>
          <t>ROUNDDOWN(AVERAGE(5 questions),0)</t>
        </is>
      </c>
      <c r="D61" s="11">
        <f>IFERROR(VLOOKUP(E61,Scoring!$A$94:$C$98,2,FALSE),"")</f>
        <v/>
      </c>
      <c r="E61" s="21">
        <f>ROUNDDOWN(AVERAGE(E45,E46,E47,E48,E49),0)</f>
        <v/>
      </c>
      <c r="F61" s="10" t="inlineStr">
        <is>
          <t>Factor B</t>
        </is>
      </c>
    </row>
    <row r="63">
      <c r="A63" s="4" t="inlineStr">
        <is>
          <t>STEP 5 - SuitabilityBlock - the hard block</t>
        </is>
      </c>
    </row>
    <row r="64">
      <c r="B64" s="14" t="inlineStr">
        <is>
          <t>CySEC-24 defines one check with Condition: All, so every row below has to be true before the user is blocked from copy entirely. A question the user has not answered makes its row false, which is why an incomplete profile is never blocked.</t>
        </is>
      </c>
    </row>
    <row r="65"/>
    <row r="66" ht="22" customHeight="1">
      <c r="A66" s="9" t="inlineStr"/>
      <c r="B66" s="9" t="inlineStr">
        <is>
          <t>Condition</t>
        </is>
      </c>
      <c r="C66" s="9" t="inlineStr">
        <is>
          <t>Blocking answers in this config</t>
        </is>
      </c>
      <c r="D66" s="9" t="inlineStr">
        <is>
          <t>Your answer</t>
        </is>
      </c>
      <c r="E66" s="9" t="inlineStr">
        <is>
          <t>Met?</t>
        </is>
      </c>
      <c r="F66" s="9" t="inlineStr"/>
    </row>
    <row r="67">
      <c r="A67" s="19" t="n"/>
      <c r="B67" s="11" t="inlineStr">
        <is>
          <t>Q9 gain/loss comfort is</t>
        </is>
      </c>
      <c r="C67" s="22" t="inlineStr">
        <is>
          <t>5% / -3%</t>
        </is>
      </c>
      <c r="D67" s="11">
        <f>C15</f>
        <v/>
      </c>
      <c r="E67" s="13">
        <f>IF(OR(C15="5% / -3%"),"YES","no")</f>
        <v/>
      </c>
      <c r="F67" s="19" t="n"/>
    </row>
    <row r="68">
      <c r="A68" s="19" t="n"/>
      <c r="B68" s="11" t="inlineStr">
        <is>
          <t>Q8 purpose of trading is</t>
        </is>
      </c>
      <c r="C68" s="22" t="inlineStr">
        <is>
          <t>Future planning, Saving for a home</t>
        </is>
      </c>
      <c r="D68" s="11">
        <f>C14</f>
        <v/>
      </c>
      <c r="E68" s="13">
        <f>IF(OR(C14="Future planning",C14="Saving for a home"),"YES","no")</f>
        <v/>
      </c>
      <c r="F68" s="19" t="n"/>
    </row>
    <row r="69">
      <c r="A69" s="19" t="n"/>
      <c r="B69" s="11" t="inlineStr">
        <is>
          <t>Q10 net annual income is</t>
        </is>
      </c>
      <c r="C69" s="22" t="inlineStr">
        <is>
          <t>Up to $10K, $10K - $50K, $50K - $200K</t>
        </is>
      </c>
      <c r="D69" s="11">
        <f>C17</f>
        <v/>
      </c>
      <c r="E69" s="13">
        <f>IF(OR(C17="Up to $10K",C17="$10K - $50K",C17="$50K - $200K"),"YES","no")</f>
        <v/>
      </c>
      <c r="F69" s="19" t="n"/>
    </row>
    <row r="70">
      <c r="A70" s="19" t="n"/>
      <c r="B70" s="11" t="inlineStr">
        <is>
          <t>Q11 cash and liquid assets are</t>
        </is>
      </c>
      <c r="C70" s="22" t="inlineStr">
        <is>
          <t>Up to $10K, $10K - $50K, $50K - $200K</t>
        </is>
      </c>
      <c r="D70" s="11">
        <f>C18</f>
        <v/>
      </c>
      <c r="E70" s="13">
        <f>IF(OR(C18="Up to $10K",C18="$10K - $50K",C18="$50K - $200K"),"YES","no")</f>
        <v/>
      </c>
      <c r="F70" s="19" t="n"/>
    </row>
    <row r="71">
      <c r="A71" s="19" t="n"/>
      <c r="B71" s="10" t="inlineStr">
        <is>
          <t>Check DefaultResult in the config</t>
        </is>
      </c>
      <c r="C71" s="17" t="inlineStr">
        <is>
          <t>NotBlocked</t>
        </is>
      </c>
      <c r="D71" s="10" t="inlineStr">
        <is>
          <t>not reached on this code path</t>
        </is>
      </c>
      <c r="E71" s="19" t="n"/>
      <c r="F71" s="19" t="n"/>
    </row>
    <row r="73">
      <c r="A73" s="4" t="inlineStr">
        <is>
          <t>STEP 6 - result</t>
        </is>
      </c>
    </row>
    <row r="74" ht="22" customHeight="1">
      <c r="A74" s="9" t="inlineStr"/>
      <c r="B74" s="9" t="inlineStr">
        <is>
          <t>Output</t>
        </is>
      </c>
      <c r="C74" s="9" t="inlineStr">
        <is>
          <t>Formula</t>
        </is>
      </c>
      <c r="D74" s="9" t="inlineStr">
        <is>
          <t>Risk level</t>
        </is>
      </c>
      <c r="E74" s="9" t="inlineStr">
        <is>
          <t>Value</t>
        </is>
      </c>
      <c r="F74" s="9" t="inlineStr"/>
    </row>
    <row r="75">
      <c r="A75" s="19" t="n"/>
      <c r="B75" s="11" t="inlineStr">
        <is>
          <t>Factor A</t>
        </is>
      </c>
      <c r="C75" s="17" t="inlineStr">
        <is>
          <t>MIN(C5, C6)</t>
        </is>
      </c>
      <c r="D75" s="23">
        <f>IFERROR(VLOOKUP(E75,Scoring!$A$94:$C$98,2,FALSE),"")</f>
        <v/>
      </c>
      <c r="E75" s="24">
        <f>MIN(E57,E58)</f>
        <v/>
      </c>
      <c r="F75" s="19" t="n"/>
    </row>
    <row r="76">
      <c r="A76" s="19" t="n"/>
      <c r="B76" s="11" t="inlineStr">
        <is>
          <t>Factor B</t>
        </is>
      </c>
      <c r="C76" s="17" t="inlineStr">
        <is>
          <t>ROUNDDOWN(AVERAGE(C1,C2,C3,C4,C7,C8,C9),0)</t>
        </is>
      </c>
      <c r="D76" s="23">
        <f>IFERROR(VLOOKUP(E76,Scoring!$A$94:$C$98,2,FALSE),"")</f>
        <v/>
      </c>
      <c r="E76" s="24">
        <f>ROUNDDOWN(AVERAGE(E53,E54,E55,E56,E59,E60,E61),0)</f>
        <v/>
      </c>
      <c r="F76" s="19" t="n"/>
    </row>
    <row r="77">
      <c r="A77" s="19" t="n"/>
      <c r="B77" s="20" t="inlineStr">
        <is>
          <t>ClientRiskLevel</t>
        </is>
      </c>
      <c r="C77" s="17" t="inlineStr">
        <is>
          <t>MIN(Factor A, Factor B)</t>
        </is>
      </c>
      <c r="D77" s="25">
        <f>IFERROR(VLOOKUP(E77,Scoring!$A$94:$C$98,2,FALSE),"")</f>
        <v/>
      </c>
      <c r="E77" s="24">
        <f>MIN(E75,E76)</f>
        <v/>
      </c>
      <c r="F77" s="19" t="n"/>
    </row>
    <row r="78">
      <c r="A78" s="19" t="n"/>
      <c r="B78" s="20" t="inlineStr">
        <is>
          <t>AuthorizedRiskScore</t>
        </is>
      </c>
      <c r="C78" s="17" t="inlineStr">
        <is>
          <t>RiskLevelToScoreMappings</t>
        </is>
      </c>
      <c r="D78" s="15" t="inlineStr">
        <is>
          <t>max copyable risk score</t>
        </is>
      </c>
      <c r="E78" s="26">
        <f>IFERROR(VLOOKUP(E77,Scoring!$A$94:$C$98,3,FALSE),"")</f>
        <v/>
      </c>
      <c r="F78" s="19" t="n"/>
    </row>
    <row r="79">
      <c r="A79" s="19" t="n"/>
      <c r="B79" s="20" t="inlineStr">
        <is>
          <t>SuitabilityBlock (hard block)</t>
        </is>
      </c>
      <c r="C79" s="17" t="inlineStr">
        <is>
          <t>ALL 4 conditions above must be met</t>
        </is>
      </c>
      <c r="D79" s="27" t="n"/>
      <c r="E79" s="24">
        <f>IF(AND(E67="YES",E68="YES",E69="YES",E70="YES"),"BLOCKED","Not blocked")</f>
        <v/>
      </c>
      <c r="F79" s="19" t="n"/>
    </row>
    <row r="81" ht="26" customHeight="1">
      <c r="B81" s="28" t="inlineStr">
        <is>
          <t>OUTCOME</t>
        </is>
      </c>
      <c r="C81" s="29">
        <f>IF(E79="BLOCKED","Fully blocked from copy trading","Risk profile "&amp;D77&amp;" - may copy any trader or portfolio with a risk score of "&amp;E78&amp;" or below")</f>
        <v/>
      </c>
      <c r="D81" s="30" t="n"/>
      <c r="E81" s="30" t="n"/>
      <c r="F81" s="30" t="n"/>
    </row>
    <row r="82" ht="14" customHeight="1">
      <c r="C82" s="31">
        <f>IF(C14="Crypto trading and/or conversion","Note: no live config scores that answer to Q8, so component 5 takes the default, Medium. The funnel offers it under every regulation.","")</f>
        <v/>
      </c>
    </row>
    <row r="83"/>
    <row r="85">
      <c r="A85" s="4" t="inlineStr">
        <is>
          <t>STEP 7 - check a specific target</t>
        </is>
      </c>
    </row>
    <row r="86">
      <c r="A86" s="19" t="n"/>
      <c r="B86" s="11" t="inlineStr">
        <is>
          <t>Target's risk score (1-10)</t>
        </is>
      </c>
      <c r="C86" s="32" t="n">
        <v>7</v>
      </c>
    </row>
    <row r="87" ht="24" customHeight="1">
      <c r="B87" s="33" t="inlineStr">
        <is>
          <t>Can this user copy it?</t>
        </is>
      </c>
      <c r="C87" s="29">
        <f>IF(E79="BLOCKED","NO - fully blocked from copy",IF(C86&lt;=E78,"YES - allowed","NO - target risk "&amp;C86&amp;" exceeds the limit of "&amp;E78))</f>
        <v/>
      </c>
      <c r="D87" s="30" t="n"/>
      <c r="E87" s="30" t="n"/>
      <c r="F87" s="30" t="n"/>
    </row>
    <row r="89">
      <c r="B89" s="14" t="inlineStr">
        <is>
          <t>This sheet models gates 1 and 2. Gate 3, ongoing monitoring, is a separate daily solvency check - see the Monitoring sheet. A user can pass here and still be blocked from opening new copies.</t>
        </is>
      </c>
    </row>
  </sheetData>
  <mergeCells count="12">
    <mergeCell ref="B26:F28"/>
    <mergeCell ref="A2:F2"/>
    <mergeCell ref="B39:F39"/>
    <mergeCell ref="B24:F24"/>
    <mergeCell ref="C87:F87"/>
    <mergeCell ref="B20:F21"/>
    <mergeCell ref="B64:F65"/>
    <mergeCell ref="B42:F43"/>
    <mergeCell ref="B89:F89"/>
    <mergeCell ref="B37:F38"/>
    <mergeCell ref="C82:F83"/>
    <mergeCell ref="C81:F81"/>
  </mergeCells>
  <dataValidations count="25">
    <dataValidation sqref="C6" showDropDown="0" showInputMessage="0" showErrorMessage="0" allowBlank="0" type="list">
      <formula1>Lists!$A$3:$A$6</formula1>
    </dataValidation>
    <dataValidation sqref="C7" showDropDown="0" showInputMessage="0" showErrorMessage="0" allowBlank="0" type="list">
      <formula1>Lists!$B$3:$B$6</formula1>
    </dataValidation>
    <dataValidation sqref="C8" showDropDown="0" showInputMessage="0" showErrorMessage="0" allowBlank="0" type="list">
      <formula1>Lists!$C$3:$C$8</formula1>
    </dataValidation>
    <dataValidation sqref="C9" showDropDown="0" showInputMessage="0" showErrorMessage="0" allowBlank="0" type="list">
      <formula1>Lists!$D$3:$D$6</formula1>
    </dataValidation>
    <dataValidation sqref="C10" showDropDown="0" showInputMessage="0" showErrorMessage="0" allowBlank="0" type="list">
      <formula1>Lists!$E$3:$E$6</formula1>
    </dataValidation>
    <dataValidation sqref="C11" showDropDown="0" showInputMessage="0" showErrorMessage="0" allowBlank="0" type="list">
      <formula1>Lists!$F$3:$F$6</formula1>
    </dataValidation>
    <dataValidation sqref="C12" showDropDown="0" showInputMessage="0" showErrorMessage="0" allowBlank="0" type="list">
      <formula1>Lists!$G$3:$G$6</formula1>
    </dataValidation>
    <dataValidation sqref="C13" showDropDown="0" showInputMessage="0" showErrorMessage="0" allowBlank="0" type="list">
      <formula1>Lists!$H$3:$H$5</formula1>
    </dataValidation>
    <dataValidation sqref="C14" showDropDown="0" showInputMessage="0" showErrorMessage="0" allowBlank="0" type="list">
      <formula1>Lists!$I$3:$I$10</formula1>
    </dataValidation>
    <dataValidation sqref="C15" showDropDown="0" showInputMessage="0" showErrorMessage="0" allowBlank="0" type="list">
      <formula1>Lists!$J$3:$J$7</formula1>
    </dataValidation>
    <dataValidation sqref="C16" showDropDown="0" showInputMessage="0" showErrorMessage="0" allowBlank="0" type="list">
      <formula1>Lists!$K$3:$K$14</formula1>
    </dataValidation>
    <dataValidation sqref="C17" showDropDown="0" showInputMessage="0" showErrorMessage="0" allowBlank="0" type="list">
      <formula1>Lists!$L$3:$L$8</formula1>
    </dataValidation>
    <dataValidation sqref="C18" showDropDown="0" showInputMessage="0" showErrorMessage="0" allowBlank="0" type="list">
      <formula1>Lists!$M$3:$M$8</formula1>
    </dataValidation>
    <dataValidation sqref="C30" showDropDown="0" showInputMessage="0" showErrorMessage="0" allowBlank="0" type="list">
      <formula1>Lists!$N$3:$N$4</formula1>
    </dataValidation>
    <dataValidation sqref="C31" showDropDown="0" showInputMessage="0" showErrorMessage="0" allowBlank="0" type="list">
      <formula1>Lists!$N$3:$N$4</formula1>
    </dataValidation>
    <dataValidation sqref="C32" showDropDown="0" showInputMessage="0" showErrorMessage="0" allowBlank="0" type="list">
      <formula1>Lists!$N$3:$N$4</formula1>
    </dataValidation>
    <dataValidation sqref="C33" showDropDown="0" showInputMessage="0" showErrorMessage="0" allowBlank="0" type="list">
      <formula1>Lists!$N$3:$N$4</formula1>
    </dataValidation>
    <dataValidation sqref="C34" showDropDown="0" showInputMessage="0" showErrorMessage="0" allowBlank="0" type="list">
      <formula1>Lists!$N$3:$N$4</formula1>
    </dataValidation>
    <dataValidation sqref="C35" showDropDown="0" showInputMessage="0" showErrorMessage="0" allowBlank="0" type="list">
      <formula1>Lists!$N$3:$N$4</formula1>
    </dataValidation>
    <dataValidation sqref="C45" showDropDown="0" showInputMessage="0" showErrorMessage="0" allowBlank="0" type="list">
      <formula1>Lists!$P$3:$P$5</formula1>
    </dataValidation>
    <dataValidation sqref="C46" showDropDown="0" showInputMessage="0" showErrorMessage="0" allowBlank="0" type="list">
      <formula1>Lists!$Q$3:$Q$5</formula1>
    </dataValidation>
    <dataValidation sqref="C47" showDropDown="0" showInputMessage="0" showErrorMessage="0" allowBlank="0" type="list">
      <formula1>Lists!$R$3:$R$5</formula1>
    </dataValidation>
    <dataValidation sqref="C48" showDropDown="0" showInputMessage="0" showErrorMessage="0" allowBlank="0" type="list">
      <formula1>Lists!$S$3:$S$5</formula1>
    </dataValidation>
    <dataValidation sqref="C49" showDropDown="0" showInputMessage="0" showErrorMessage="0" allowBlank="0" type="list">
      <formula1>Lists!$T$3:$T$5</formula1>
    </dataValidation>
    <dataValidation sqref="C86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0" customWidth="1" min="3" max="3"/>
    <col width="16" customWidth="1" min="4" max="4"/>
    <col width="10" customWidth="1" min="5" max="5"/>
    <col width="34" customWidth="1" min="6" max="6"/>
  </cols>
  <sheetData>
    <row r="1">
      <c r="A1" s="7" t="inlineStr">
        <is>
          <t>Suitability calculator - FCA</t>
        </is>
      </c>
    </row>
    <row r="2">
      <c r="A2" s="8" t="inlineStr">
        <is>
          <t>Answer the yellow cells; everything else is calculated. This sheet models FCA-15, the live configuration for FCA. Each regulation gets its own sheet because the scored answers and the hard block differ.</t>
        </is>
      </c>
    </row>
    <row r="4">
      <c r="A4" s="4" t="inlineStr">
        <is>
          <t>STEP 1 - answer the questions</t>
        </is>
      </c>
    </row>
    <row r="5" ht="22" customHeight="1">
      <c r="A5" s="9" t="inlineStr">
        <is>
          <t>Q</t>
        </is>
      </c>
      <c r="B5" s="9" t="inlineStr">
        <is>
          <t>Question</t>
        </is>
      </c>
      <c r="C5" s="9" t="inlineStr">
        <is>
          <t>Your answer</t>
        </is>
      </c>
      <c r="D5" s="9" t="inlineStr">
        <is>
          <t>Risk level</t>
        </is>
      </c>
      <c r="E5" s="9" t="inlineStr">
        <is>
          <t>Weight</t>
        </is>
      </c>
      <c r="F5" s="9" t="inlineStr">
        <is>
          <t>Feeds</t>
        </is>
      </c>
    </row>
    <row r="6">
      <c r="A6" s="10" t="inlineStr">
        <is>
          <t>Q33</t>
        </is>
      </c>
      <c r="B6" s="11" t="inlineStr">
        <is>
          <t>How often have you traded stocks?</t>
        </is>
      </c>
      <c r="C6" s="12" t="inlineStr">
        <is>
          <t>0-10 times</t>
        </is>
      </c>
      <c r="D6" s="11">
        <f>IFERROR(VLOOKUP("Equities|"&amp;C6,Scoring!$A$5:$E$89,4,FALSE),"?")</f>
        <v/>
      </c>
      <c r="E6" s="13">
        <f>IFERROR(VLOOKUP("Equities|"&amp;C6,Scoring!$A$5:$E$89,5,FALSE),"")</f>
        <v/>
      </c>
      <c r="F6" s="10" t="inlineStr">
        <is>
          <t>Component 1</t>
        </is>
      </c>
    </row>
    <row r="7">
      <c r="A7" s="10" t="inlineStr">
        <is>
          <t>Q34</t>
        </is>
      </c>
      <c r="B7" s="11" t="inlineStr">
        <is>
          <t>How often have you traded crypto?</t>
        </is>
      </c>
      <c r="C7" s="12" t="inlineStr">
        <is>
          <t>Never traded</t>
        </is>
      </c>
      <c r="D7" s="11">
        <f>IFERROR(VLOOKUP("Crypto|"&amp;C7,Scoring!$A$5:$E$89,4,FALSE),"?")</f>
        <v/>
      </c>
      <c r="E7" s="13">
        <f>IFERROR(VLOOKUP("Crypto|"&amp;C7,Scoring!$A$5:$E$89,5,FALSE),"")</f>
        <v/>
      </c>
      <c r="F7" s="10" t="inlineStr">
        <is>
          <t>Component 1</t>
        </is>
      </c>
    </row>
    <row r="8">
      <c r="A8" s="10" t="inlineStr">
        <is>
          <t>Q35</t>
        </is>
      </c>
      <c r="B8" s="11" t="inlineStr">
        <is>
          <t>How often have you traded leveraged CFDs?</t>
        </is>
      </c>
      <c r="C8" s="12" t="inlineStr">
        <is>
          <t>Never traded</t>
        </is>
      </c>
      <c r="D8" s="11">
        <f>IFERROR(VLOOKUP("LeveragedCfd|"&amp;C8,Scoring!$A$5:$E$89,4,FALSE),"?")</f>
        <v/>
      </c>
      <c r="E8" s="13">
        <f>IFERROR(VLOOKUP("LeveragedCfd|"&amp;C8,Scoring!$A$5:$E$89,5,FALSE),"")</f>
        <v/>
      </c>
      <c r="F8" s="10" t="inlineStr">
        <is>
          <t>Component 1</t>
        </is>
      </c>
    </row>
    <row r="9">
      <c r="A9" s="10" t="inlineStr">
        <is>
          <t>Q47</t>
        </is>
      </c>
      <c r="B9" s="11" t="inlineStr">
        <is>
          <t>How much have you invested in stocks?</t>
        </is>
      </c>
      <c r="C9" s="12" t="inlineStr">
        <is>
          <t>$1 - $500</t>
        </is>
      </c>
      <c r="D9" s="11">
        <f>IFERROR(VLOOKUP("EquitiesInvestedAmount|"&amp;C9,Scoring!$A$5:$E$89,4,FALSE),"?")</f>
        <v/>
      </c>
      <c r="E9" s="13">
        <f>IFERROR(VLOOKUP("EquitiesInvestedAmount|"&amp;C9,Scoring!$A$5:$E$89,5,FALSE),"")</f>
        <v/>
      </c>
      <c r="F9" s="10" t="inlineStr">
        <is>
          <t>Component 2</t>
        </is>
      </c>
    </row>
    <row r="10">
      <c r="A10" s="10" t="inlineStr">
        <is>
          <t>Q48</t>
        </is>
      </c>
      <c r="B10" s="11" t="inlineStr">
        <is>
          <t>How much have you invested in crypto?</t>
        </is>
      </c>
      <c r="C10" s="12" t="inlineStr">
        <is>
          <t>Never</t>
        </is>
      </c>
      <c r="D10" s="11">
        <f>IFERROR(VLOOKUP("CryptoInvestedAmount|"&amp;C10,Scoring!$A$5:$E$89,4,FALSE),"?")</f>
        <v/>
      </c>
      <c r="E10" s="13">
        <f>IFERROR(VLOOKUP("CryptoInvestedAmount|"&amp;C10,Scoring!$A$5:$E$89,5,FALSE),"")</f>
        <v/>
      </c>
      <c r="F10" s="10" t="inlineStr">
        <is>
          <t>Component 2</t>
        </is>
      </c>
    </row>
    <row r="11">
      <c r="A11" s="10" t="inlineStr">
        <is>
          <t>Q45</t>
        </is>
      </c>
      <c r="B11" s="11" t="inlineStr">
        <is>
          <t>How much have you invested in leveraged CFDs?</t>
        </is>
      </c>
      <c r="C11" s="12" t="inlineStr">
        <is>
          <t>Never</t>
        </is>
      </c>
      <c r="D11" s="11">
        <f>IFERROR(VLOOKUP("LeveragedCfdInvestedAmount|"&amp;C11,Scoring!$A$5:$E$89,4,FALSE),"?")</f>
        <v/>
      </c>
      <c r="E11" s="13">
        <f>IFERROR(VLOOKUP("LeveragedCfdInvestedAmount|"&amp;C11,Scoring!$A$5:$E$89,5,FALSE),"")</f>
        <v/>
      </c>
      <c r="F11" s="10" t="inlineStr">
        <is>
          <t>Component 2</t>
        </is>
      </c>
    </row>
    <row r="12">
      <c r="A12" s="10" t="inlineStr">
        <is>
          <t>Q3</t>
        </is>
      </c>
      <c r="B12" s="11" t="inlineStr">
        <is>
          <t>What relevant financial knowledge do you have?</t>
        </is>
      </c>
      <c r="C12" s="12" t="inlineStr">
        <is>
          <t>No financial knowledge</t>
        </is>
      </c>
      <c r="D12" s="11">
        <f>IFERROR(VLOOKUP("TradingKnowledge|"&amp;C12,Scoring!$A$5:$E$89,4,FALSE),"?")</f>
        <v/>
      </c>
      <c r="E12" s="13">
        <f>IFERROR(VLOOKUP("TradingKnowledge|"&amp;C12,Scoring!$A$5:$E$89,5,FALSE),"")</f>
        <v/>
      </c>
      <c r="F12" s="10" t="inlineStr">
        <is>
          <t>Component 3</t>
        </is>
      </c>
    </row>
    <row r="13">
      <c r="A13" s="10" t="inlineStr">
        <is>
          <t>Q5</t>
        </is>
      </c>
      <c r="B13" s="11" t="inlineStr">
        <is>
          <t>How long do you typically hold a position?</t>
        </is>
      </c>
      <c r="C13" s="12" t="inlineStr">
        <is>
          <t>A few weeks up to several months</t>
        </is>
      </c>
      <c r="D13" s="11">
        <f>IFERROR(VLOOKUP("TradingStrategy|"&amp;C13,Scoring!$A$5:$E$89,4,FALSE),"?")</f>
        <v/>
      </c>
      <c r="E13" s="13">
        <f>IFERROR(VLOOKUP("TradingStrategy|"&amp;C13,Scoring!$A$5:$E$89,5,FALSE),"")</f>
        <v/>
      </c>
      <c r="F13" s="10" t="inlineStr">
        <is>
          <t>Component 4</t>
        </is>
      </c>
    </row>
    <row r="14">
      <c r="A14" s="10" t="inlineStr">
        <is>
          <t>Q8</t>
        </is>
      </c>
      <c r="B14" s="11" t="inlineStr">
        <is>
          <t>What is your primary purpose for trading?</t>
        </is>
      </c>
      <c r="C14" s="12" t="inlineStr">
        <is>
          <t>Additional revenues</t>
        </is>
      </c>
      <c r="D14" s="11">
        <f>IF(OR(C14="Converting crypto to fiat",C14="Trading",C14="Investments",C14="Crypto trading and/or conversion"),"Medium (unscored - default)",IFERROR(VLOOKUP("TradingPurpose|"&amp;C14,Scoring!$A$5:$E$89,4,FALSE),"?"))</f>
        <v/>
      </c>
      <c r="E14" s="13">
        <f>IF(OR(C14="Converting crypto to fiat",C14="Trading",C14="Investments",C14="Crypto trading and/or conversion"),2,IFERROR(VLOOKUP("TradingPurpose|"&amp;C14,Scoring!$A$5:$E$89,5,FALSE),""))</f>
        <v/>
      </c>
      <c r="F14" s="10" t="inlineStr">
        <is>
          <t>Component 5</t>
        </is>
      </c>
    </row>
    <row r="15">
      <c r="A15" s="10" t="inlineStr">
        <is>
          <t>Q9</t>
        </is>
      </c>
      <c r="B15" s="11" t="inlineStr">
        <is>
          <t>What gain and loss are you comfortable with?</t>
        </is>
      </c>
      <c r="C15" s="12" t="inlineStr">
        <is>
          <t>20% / -12%</t>
        </is>
      </c>
      <c r="D15" s="11">
        <f>IFERROR(VLOOKUP("RiskAppetite|"&amp;C15,Scoring!$A$5:$E$89,4,FALSE),"?")</f>
        <v/>
      </c>
      <c r="E15" s="13">
        <f>IFERROR(VLOOKUP("RiskAppetite|"&amp;C15,Scoring!$A$5:$E$89,5,FALSE),"")</f>
        <v/>
      </c>
      <c r="F15" s="10" t="inlineStr">
        <is>
          <t>Component 6</t>
        </is>
      </c>
    </row>
    <row r="16">
      <c r="A16" s="10" t="inlineStr">
        <is>
          <t>Q15</t>
        </is>
      </c>
      <c r="B16" s="11" t="inlineStr">
        <is>
          <t>What is your main source of income?</t>
        </is>
      </c>
      <c r="C16" s="12" t="inlineStr">
        <is>
          <t>Salary</t>
        </is>
      </c>
      <c r="D16" s="11">
        <f>IFERROR(VLOOKUP("IncomeSource|"&amp;C16,Scoring!$A$5:$E$89,4,FALSE),"?")</f>
        <v/>
      </c>
      <c r="E16" s="13">
        <f>IFERROR(VLOOKUP("IncomeSource|"&amp;C16,Scoring!$A$5:$E$89,5,FALSE),"")</f>
        <v/>
      </c>
      <c r="F16" s="10" t="inlineStr">
        <is>
          <t>Component 7</t>
        </is>
      </c>
    </row>
    <row r="17">
      <c r="A17" s="10" t="inlineStr">
        <is>
          <t>Q10</t>
        </is>
      </c>
      <c r="B17" s="11" t="inlineStr">
        <is>
          <t>What is your net annual income?</t>
        </is>
      </c>
      <c r="C17" s="12" t="inlineStr">
        <is>
          <t>$50K - $200K</t>
        </is>
      </c>
      <c r="D17" s="10" t="inlineStr">
        <is>
          <t>not scored</t>
        </is>
      </c>
      <c r="E17" s="13">
        <f>IFERROR(VLOOKUP("AnnualIncome|"&amp;C17,Scoring!$A$5:$E$89,5,FALSE),"")</f>
        <v/>
      </c>
      <c r="F17" s="10" t="inlineStr">
        <is>
          <t>Hard block only</t>
        </is>
      </c>
    </row>
    <row r="18">
      <c r="A18" s="10" t="inlineStr">
        <is>
          <t>Q11</t>
        </is>
      </c>
      <c r="B18" s="11" t="inlineStr">
        <is>
          <t>What are your total cash and liquid assets?</t>
        </is>
      </c>
      <c r="C18" s="12" t="inlineStr">
        <is>
          <t>$50K - $200K</t>
        </is>
      </c>
      <c r="D18" s="10" t="inlineStr">
        <is>
          <t>not scored</t>
        </is>
      </c>
      <c r="E18" s="13">
        <f>IFERROR(VLOOKUP("LiquidAssets|"&amp;C18,Scoring!$A$5:$E$89,5,FALSE),"")</f>
        <v/>
      </c>
      <c r="F18" s="10" t="inlineStr">
        <is>
          <t>Hard block only</t>
        </is>
      </c>
    </row>
    <row r="20">
      <c r="B20" s="14" t="inlineStr">
        <is>
          <t>FCA-15 scores 4 of the 8 answers the funnel offers for Q8. The 4 it omits - Converting crypto to fiat; Trading; Investments; Crypto trading and/or conversion - are still selectable in the funnel here, and each one silently takes the default risk level, Medium. Pick one and the risk-level cell says so.</t>
        </is>
      </c>
    </row>
    <row r="21"/>
    <row r="23">
      <c r="A23" s="4" t="inlineStr">
        <is>
          <t>STEP 2 - Q23 complex-products knowledge assessment</t>
        </is>
      </c>
    </row>
    <row r="24">
      <c r="B24" s="14" t="inlineStr">
        <is>
          <t>Six true/false statements shown as one multi-select. Mark Yes for each statement you would tick. Two are factually true and carry +2 - the analyzer enum annotates exactly those two as the correct answers - and four are false and carry -2.</t>
        </is>
      </c>
    </row>
    <row r="26">
      <c r="B26" s="14" t="inlineStr">
        <is>
          <t>Every statement is judged, whether or not it is ticked. WeightQuestionAnswerCalculator.GetScoreByAnswerIds walks the whole group and does score += weight for a ticked answer, score -= weight for an unticked one, so ticking a true statement or leaving a false one alone both earn +2 and the opposite costs -2. The total runs -12 to +12 and no statement can contribute 0.    The one exception: tick nothing and the group is skipped entirely, so component 8 falls back to the default risk level, Medium. Q23 is IsRequiredForCopy=false, so a user can leave it alone and still copy.</t>
        </is>
      </c>
    </row>
    <row r="27"/>
    <row r="28"/>
    <row r="29" ht="22" customHeight="1">
      <c r="A29" s="9" t="inlineStr">
        <is>
          <t>ID</t>
        </is>
      </c>
      <c r="B29" s="9" t="inlineStr">
        <is>
          <t>Statement</t>
        </is>
      </c>
      <c r="C29" s="9" t="inlineStr">
        <is>
          <t>Selected?</t>
        </is>
      </c>
      <c r="D29" s="9" t="inlineStr">
        <is>
          <t>Weight</t>
        </is>
      </c>
      <c r="E29" s="9" t="inlineStr">
        <is>
          <t>Contribution</t>
        </is>
      </c>
      <c r="F29" s="9" t="inlineStr">
        <is>
          <t>Answer (config name)</t>
        </is>
      </c>
    </row>
    <row r="30" ht="39" customHeight="1">
      <c r="A30" s="15" t="n">
        <v>142</v>
      </c>
      <c r="B30" s="16" t="inlineStr">
        <is>
          <t>I deposit and invest $1,000 to open a position with $20,000 (using leverage of 20x). If the market moves 5% against my position, I'll lose my investment</t>
        </is>
      </c>
      <c r="C30" s="12" t="inlineStr">
        <is>
          <t>Yes</t>
        </is>
      </c>
      <c r="D30" s="15" t="inlineStr">
        <is>
          <t>+2</t>
        </is>
      </c>
      <c r="E30" s="13">
        <f>IF(C30="Yes",2,-2)</f>
        <v/>
      </c>
      <c r="F30" s="17" t="inlineStr">
        <is>
          <t>NewerLeverage</t>
        </is>
      </c>
    </row>
    <row r="31" ht="52" customHeight="1">
      <c r="A31" s="15" t="n">
        <v>144</v>
      </c>
      <c r="B31" s="16" t="inlineStr">
        <is>
          <t>If the total equity (i.e. the combined value of positions and available cash) in my account falls below the required margin, a "margin call" will liquidate my positions</t>
        </is>
      </c>
      <c r="C31" s="12" t="inlineStr">
        <is>
          <t>No</t>
        </is>
      </c>
      <c r="D31" s="15" t="inlineStr">
        <is>
          <t>+2</t>
        </is>
      </c>
      <c r="E31" s="13">
        <f>IF(C31="Yes",2,-2)</f>
        <v/>
      </c>
      <c r="F31" s="17" t="inlineStr">
        <is>
          <t>NewerMarginCall</t>
        </is>
      </c>
    </row>
    <row r="32" ht="39" customHeight="1">
      <c r="A32" s="15" t="n">
        <v>143</v>
      </c>
      <c r="B32" s="16" t="inlineStr">
        <is>
          <t>If the price of Google's stock rises on NASDAQ, the price of my Google contract for difference (CFD) will go down</t>
        </is>
      </c>
      <c r="C32" s="12" t="inlineStr">
        <is>
          <t>Yes</t>
        </is>
      </c>
      <c r="D32" s="15" t="inlineStr">
        <is>
          <t>-2</t>
        </is>
      </c>
      <c r="E32" s="13">
        <f>IF(C32="Yes",-2,2)</f>
        <v/>
      </c>
      <c r="F32" s="17" t="inlineStr">
        <is>
          <t>NewerCfd</t>
        </is>
      </c>
    </row>
    <row r="33" ht="26" customHeight="1">
      <c r="A33" s="15" t="n">
        <v>145</v>
      </c>
      <c r="B33" s="16" t="inlineStr">
        <is>
          <t>My open positions will remain open even when a stop loss is triggered</t>
        </is>
      </c>
      <c r="C33" s="12" t="inlineStr">
        <is>
          <t>No</t>
        </is>
      </c>
      <c r="D33" s="15" t="inlineStr">
        <is>
          <t>-2</t>
        </is>
      </c>
      <c r="E33" s="13">
        <f>IF(C33="Yes",-2,2)</f>
        <v/>
      </c>
      <c r="F33" s="17" t="inlineStr">
        <is>
          <t>NewerStopLossTrigger</t>
        </is>
      </c>
    </row>
    <row r="34" ht="26" customHeight="1">
      <c r="A34" s="15" t="n">
        <v>146</v>
      </c>
      <c r="B34" s="16" t="inlineStr">
        <is>
          <t>If the market gaps through my stop loss, my position will close at the exact stop loss level</t>
        </is>
      </c>
      <c r="C34" s="12" t="inlineStr">
        <is>
          <t>No</t>
        </is>
      </c>
      <c r="D34" s="15" t="inlineStr">
        <is>
          <t>-2</t>
        </is>
      </c>
      <c r="E34" s="13">
        <f>IF(C34="Yes",-2,2)</f>
        <v/>
      </c>
      <c r="F34" s="17" t="inlineStr">
        <is>
          <t>NewerStopLossGapThrough</t>
        </is>
      </c>
    </row>
    <row r="35" ht="39" customHeight="1">
      <c r="A35" s="15" t="n">
        <v>212</v>
      </c>
      <c r="B35" s="16" t="inlineStr">
        <is>
          <t>I will be able to sell my OTC complex products (CFD, TRS) outside of eToro platform    [RETIRED - no longer asked]</t>
        </is>
      </c>
      <c r="C35" s="18" t="inlineStr">
        <is>
          <t>No</t>
        </is>
      </c>
      <c r="D35" s="15" t="inlineStr">
        <is>
          <t>-2</t>
        </is>
      </c>
      <c r="E35" s="13">
        <f>IF(C35="Yes",-2,2)</f>
        <v/>
      </c>
      <c r="F35" s="17" t="inlineStr">
        <is>
          <t>NewerCfdTrs</t>
        </is>
      </c>
    </row>
    <row r="36">
      <c r="A36" s="19" t="n"/>
      <c r="B36" s="20" t="inlineStr">
        <is>
          <t>Total assessment score</t>
        </is>
      </c>
      <c r="C36" s="19" t="n"/>
      <c r="D36" s="19" t="n"/>
      <c r="E36" s="21">
        <f>SUM(E30:E35)</f>
        <v/>
      </c>
      <c r="F36" s="10">
        <f>IF(COUNTIF($C$30:$C$35,"Yes")=0,"nothing ticked - score not applied, component 8 falls back to Medium","reachable in production: -8 to +12")</f>
        <v/>
      </c>
    </row>
    <row r="37">
      <c r="B37" s="14" t="inlineStr">
        <is>
          <t>The last statement is scored by every live configuration but is no longer in the question catalogue, so no real user can tick it. It therefore contributes a constant +2 to everyone, which is why the reachable range is -8 to +12 rather than -12 to +12 and why High needs 4 of the 5 answerable statements rather than 5 of 6. It changes no band outcome - every threshold is 4 apart and the offset is 2. Leave it on No to model production; it stays editable only so the analyzer's own test vectors reproduce here.</t>
        </is>
      </c>
    </row>
    <row r="38"/>
    <row r="39">
      <c r="B39" s="5">
        <f>IF(--(C35="Yes")&gt;0,"Warning: a retired statement is ticked. No production user can do that - the score below is reachable only in the analyzer unit tests.","")</f>
        <v/>
      </c>
    </row>
    <row r="41">
      <c r="A41" s="4" t="inlineStr">
        <is>
          <t>STEP 3 - components</t>
        </is>
      </c>
    </row>
    <row r="42" ht="22" customHeight="1">
      <c r="A42" s="9" t="inlineStr"/>
      <c r="B42" s="9" t="inlineStr">
        <is>
          <t>Component</t>
        </is>
      </c>
      <c r="C42" s="9" t="inlineStr">
        <is>
          <t>Rule</t>
        </is>
      </c>
      <c r="D42" s="9" t="inlineStr">
        <is>
          <t>Risk level</t>
        </is>
      </c>
      <c r="E42" s="9" t="inlineStr">
        <is>
          <t>Weight</t>
        </is>
      </c>
      <c r="F42" s="9" t="inlineStr">
        <is>
          <t>Factor</t>
        </is>
      </c>
    </row>
    <row r="43">
      <c r="A43" s="19" t="n"/>
      <c r="B43" s="11" t="inlineStr">
        <is>
          <t>Component 1 - experience frequency</t>
        </is>
      </c>
      <c r="C43" s="10" t="inlineStr">
        <is>
          <t>MAX(stocks, crypto, CFD)</t>
        </is>
      </c>
      <c r="D43" s="11">
        <f>IFERROR(VLOOKUP(E43,Scoring!$A$94:$C$98,2,FALSE),"")</f>
        <v/>
      </c>
      <c r="E43" s="21">
        <f>MAX(E6,E7,E8)</f>
        <v/>
      </c>
      <c r="F43" s="10" t="inlineStr">
        <is>
          <t>Factor B</t>
        </is>
      </c>
    </row>
    <row r="44">
      <c r="A44" s="19" t="n"/>
      <c r="B44" s="11" t="inlineStr">
        <is>
          <t>Component 2 - experience volume</t>
        </is>
      </c>
      <c r="C44" s="10" t="inlineStr">
        <is>
          <t>MAX(stocks, crypto, CFD)</t>
        </is>
      </c>
      <c r="D44" s="11">
        <f>IFERROR(VLOOKUP(E44,Scoring!$A$94:$C$98,2,FALSE),"")</f>
        <v/>
      </c>
      <c r="E44" s="21">
        <f>MAX(E9,E10,E11)</f>
        <v/>
      </c>
      <c r="F44" s="10" t="inlineStr">
        <is>
          <t>Factor B</t>
        </is>
      </c>
    </row>
    <row r="45">
      <c r="A45" s="19" t="n"/>
      <c r="B45" s="11" t="inlineStr">
        <is>
          <t>Component 3 - trading knowledge</t>
        </is>
      </c>
      <c r="C45" s="10" t="inlineStr">
        <is>
          <t>single question</t>
        </is>
      </c>
      <c r="D45" s="11">
        <f>IFERROR(VLOOKUP(E45,Scoring!$A$94:$C$98,2,FALSE),"")</f>
        <v/>
      </c>
      <c r="E45" s="21">
        <f>E12</f>
        <v/>
      </c>
      <c r="F45" s="10" t="inlineStr">
        <is>
          <t>Factor B</t>
        </is>
      </c>
    </row>
    <row r="46">
      <c r="A46" s="19" t="n"/>
      <c r="B46" s="11" t="inlineStr">
        <is>
          <t>Component 4 - trading strategy</t>
        </is>
      </c>
      <c r="C46" s="10" t="inlineStr">
        <is>
          <t>single question</t>
        </is>
      </c>
      <c r="D46" s="11">
        <f>IFERROR(VLOOKUP(E46,Scoring!$A$94:$C$98,2,FALSE),"")</f>
        <v/>
      </c>
      <c r="E46" s="21">
        <f>E13</f>
        <v/>
      </c>
      <c r="F46" s="10" t="inlineStr">
        <is>
          <t>Factor B</t>
        </is>
      </c>
    </row>
    <row r="47">
      <c r="A47" s="19" t="n"/>
      <c r="B47" s="11" t="inlineStr">
        <is>
          <t>Component 5 - purpose of trading</t>
        </is>
      </c>
      <c r="C47" s="10" t="inlineStr">
        <is>
          <t>single question</t>
        </is>
      </c>
      <c r="D47" s="11">
        <f>IFERROR(VLOOKUP(E47,Scoring!$A$94:$C$98,2,FALSE),"")</f>
        <v/>
      </c>
      <c r="E47" s="21">
        <f>E14</f>
        <v/>
      </c>
      <c r="F47" s="10" t="inlineStr">
        <is>
          <t>Factor A</t>
        </is>
      </c>
    </row>
    <row r="48">
      <c r="A48" s="19" t="n"/>
      <c r="B48" s="11" t="inlineStr">
        <is>
          <t>Component 6 - risk appetite</t>
        </is>
      </c>
      <c r="C48" s="10" t="inlineStr">
        <is>
          <t>single question</t>
        </is>
      </c>
      <c r="D48" s="11">
        <f>IFERROR(VLOOKUP(E48,Scoring!$A$94:$C$98,2,FALSE),"")</f>
        <v/>
      </c>
      <c r="E48" s="21">
        <f>E15</f>
        <v/>
      </c>
      <c r="F48" s="10" t="inlineStr">
        <is>
          <t>Factor A</t>
        </is>
      </c>
    </row>
    <row r="49">
      <c r="A49" s="19" t="n"/>
      <c r="B49" s="11" t="inlineStr">
        <is>
          <t>Component 7 - source of income</t>
        </is>
      </c>
      <c r="C49" s="10" t="inlineStr">
        <is>
          <t>single question</t>
        </is>
      </c>
      <c r="D49" s="11">
        <f>IFERROR(VLOOKUP(E49,Scoring!$A$94:$C$98,2,FALSE),"")</f>
        <v/>
      </c>
      <c r="E49" s="21">
        <f>E16</f>
        <v/>
      </c>
      <c r="F49" s="10" t="inlineStr">
        <is>
          <t>Factor B</t>
        </is>
      </c>
    </row>
    <row r="50">
      <c r="A50" s="19" t="n"/>
      <c r="B50" s="11" t="inlineStr">
        <is>
          <t>Component 8 - knowledge assessment</t>
        </is>
      </c>
      <c r="C50" s="10" t="inlineStr">
        <is>
          <t>score -&gt; band, Medium if nothing ticked</t>
        </is>
      </c>
      <c r="D50" s="11">
        <f>IFERROR(VLOOKUP(E50,Scoring!$A$94:$C$98,2,FALSE),"")</f>
        <v/>
      </c>
      <c r="E50" s="21">
        <f>IF(COUNTIF($C$30:$C$35,"Yes")=0,2,LOOKUP(E36,Scoring!$A$113:$A$116,Scoring!$B$113:$B$116))</f>
        <v/>
      </c>
      <c r="F50" s="10" t="inlineStr">
        <is>
          <t>Factor B</t>
        </is>
      </c>
    </row>
    <row r="51">
      <c r="A51" s="19" t="n"/>
      <c r="B51" s="10" t="inlineStr">
        <is>
          <t>Component 9 - MiCA crypto assessment    not part of this regulation</t>
        </is>
      </c>
      <c r="C51" s="19" t="n"/>
      <c r="D51" s="19" t="n"/>
      <c r="E51" s="19" t="n"/>
      <c r="F51" s="10" t="inlineStr">
        <is>
          <t>CySEC only</t>
        </is>
      </c>
    </row>
    <row r="53">
      <c r="A53" s="4" t="inlineStr">
        <is>
          <t>STEP 4 - SuitabilityBlock - the hard block</t>
        </is>
      </c>
    </row>
    <row r="54">
      <c r="B54" s="14" t="inlineStr">
        <is>
          <t>FCA-15 defines one check with Condition: All, so every row below has to be true before the user is blocked from copy entirely. A question the user has not answered makes its row false, which is why an incomplete profile is never blocked.</t>
        </is>
      </c>
    </row>
    <row r="55"/>
    <row r="56" ht="22" customHeight="1">
      <c r="A56" s="9" t="inlineStr"/>
      <c r="B56" s="9" t="inlineStr">
        <is>
          <t>Condition</t>
        </is>
      </c>
      <c r="C56" s="9" t="inlineStr">
        <is>
          <t>Blocking answers in this config</t>
        </is>
      </c>
      <c r="D56" s="9" t="inlineStr">
        <is>
          <t>Your answer</t>
        </is>
      </c>
      <c r="E56" s="9" t="inlineStr">
        <is>
          <t>Met?</t>
        </is>
      </c>
      <c r="F56" s="9" t="inlineStr"/>
    </row>
    <row r="57">
      <c r="A57" s="19" t="n"/>
      <c r="B57" s="11" t="inlineStr">
        <is>
          <t>Q9 gain/loss comfort is</t>
        </is>
      </c>
      <c r="C57" s="22" t="inlineStr">
        <is>
          <t>5% / -3%</t>
        </is>
      </c>
      <c r="D57" s="11">
        <f>C15</f>
        <v/>
      </c>
      <c r="E57" s="13">
        <f>IF(OR(C15="5% / -3%"),"YES","no")</f>
        <v/>
      </c>
      <c r="F57" s="19" t="n"/>
    </row>
    <row r="58">
      <c r="A58" s="19" t="n"/>
      <c r="B58" s="11" t="inlineStr">
        <is>
          <t>Q8 purpose of trading is</t>
        </is>
      </c>
      <c r="C58" s="22" t="inlineStr">
        <is>
          <t>Future planning, Saving for a home</t>
        </is>
      </c>
      <c r="D58" s="11">
        <f>C14</f>
        <v/>
      </c>
      <c r="E58" s="13">
        <f>IF(OR(C14="Future planning",C14="Saving for a home"),"YES","no")</f>
        <v/>
      </c>
      <c r="F58" s="19" t="n"/>
    </row>
    <row r="59">
      <c r="A59" s="19" t="n"/>
      <c r="B59" s="11" t="inlineStr">
        <is>
          <t>Q10 net annual income is</t>
        </is>
      </c>
      <c r="C59" s="22" t="inlineStr">
        <is>
          <t>Up to $10K, $10K - $50K, $50K - $200K</t>
        </is>
      </c>
      <c r="D59" s="11">
        <f>C17</f>
        <v/>
      </c>
      <c r="E59" s="13">
        <f>IF(OR(C17="Up to $10K",C17="$10K - $50K",C17="$50K - $200K"),"YES","no")</f>
        <v/>
      </c>
      <c r="F59" s="19" t="n"/>
    </row>
    <row r="60">
      <c r="A60" s="19" t="n"/>
      <c r="B60" s="11" t="inlineStr">
        <is>
          <t>Q11 cash and liquid assets are</t>
        </is>
      </c>
      <c r="C60" s="22" t="inlineStr">
        <is>
          <t>Up to $10K, $10K - $50K, $50K - $200K</t>
        </is>
      </c>
      <c r="D60" s="11">
        <f>C18</f>
        <v/>
      </c>
      <c r="E60" s="13">
        <f>IF(OR(C18="Up to $10K",C18="$10K - $50K",C18="$50K - $200K"),"YES","no")</f>
        <v/>
      </c>
      <c r="F60" s="19" t="n"/>
    </row>
    <row r="61">
      <c r="A61" s="19" t="n"/>
      <c r="B61" s="10" t="inlineStr">
        <is>
          <t>Check DefaultResult in the config</t>
        </is>
      </c>
      <c r="C61" s="17" t="inlineStr">
        <is>
          <t>Blocked</t>
        </is>
      </c>
      <c r="D61" s="10" t="inlineStr">
        <is>
          <t>never evaluated - see note</t>
        </is>
      </c>
      <c r="E61" s="19" t="n"/>
      <c r="F61" s="19" t="n"/>
    </row>
    <row r="62">
      <c r="B62" s="31" t="inlineStr">
        <is>
          <t>FCA-15 is the only config that sets this check's DefaultResult to Blocked. It has no effect. Suitability calls BlockCalculator.Calculate, which hands the block-level DefaultResult (NotBlocked, same in all five configs) to every check and returns it when no check applies; Check.DefaultResult is only ever read for nested checks and this block has none. FCA therefore fails open on an unanswered question, exactly like the other four.</t>
        </is>
      </c>
    </row>
    <row r="63"/>
    <row r="64"/>
    <row r="66">
      <c r="A66" s="4" t="inlineStr">
        <is>
          <t>STEP 5 - result</t>
        </is>
      </c>
    </row>
    <row r="67" ht="22" customHeight="1">
      <c r="A67" s="9" t="inlineStr"/>
      <c r="B67" s="9" t="inlineStr">
        <is>
          <t>Output</t>
        </is>
      </c>
      <c r="C67" s="9" t="inlineStr">
        <is>
          <t>Formula</t>
        </is>
      </c>
      <c r="D67" s="9" t="inlineStr">
        <is>
          <t>Risk level</t>
        </is>
      </c>
      <c r="E67" s="9" t="inlineStr">
        <is>
          <t>Value</t>
        </is>
      </c>
      <c r="F67" s="9" t="inlineStr"/>
    </row>
    <row r="68">
      <c r="A68" s="19" t="n"/>
      <c r="B68" s="11" t="inlineStr">
        <is>
          <t>Factor A</t>
        </is>
      </c>
      <c r="C68" s="17" t="inlineStr">
        <is>
          <t>MIN(C5, C6)</t>
        </is>
      </c>
      <c r="D68" s="23">
        <f>IFERROR(VLOOKUP(E68,Scoring!$A$94:$C$98,2,FALSE),"")</f>
        <v/>
      </c>
      <c r="E68" s="24">
        <f>MIN(E47,E48)</f>
        <v/>
      </c>
      <c r="F68" s="19" t="n"/>
    </row>
    <row r="69">
      <c r="A69" s="19" t="n"/>
      <c r="B69" s="11" t="inlineStr">
        <is>
          <t>Factor B</t>
        </is>
      </c>
      <c r="C69" s="17" t="inlineStr">
        <is>
          <t>ROUNDDOWN(AVERAGE(C1,C2,C3,C4,C7,C8),0)</t>
        </is>
      </c>
      <c r="D69" s="23">
        <f>IFERROR(VLOOKUP(E69,Scoring!$A$94:$C$98,2,FALSE),"")</f>
        <v/>
      </c>
      <c r="E69" s="24">
        <f>ROUNDDOWN(AVERAGE(E43,E44,E45,E46,E49,E50),0)</f>
        <v/>
      </c>
      <c r="F69" s="19" t="n"/>
    </row>
    <row r="70">
      <c r="A70" s="19" t="n"/>
      <c r="B70" s="20" t="inlineStr">
        <is>
          <t>ClientRiskLevel</t>
        </is>
      </c>
      <c r="C70" s="17" t="inlineStr">
        <is>
          <t>MIN(Factor A, Factor B)</t>
        </is>
      </c>
      <c r="D70" s="25">
        <f>IFERROR(VLOOKUP(E70,Scoring!$A$94:$C$98,2,FALSE),"")</f>
        <v/>
      </c>
      <c r="E70" s="24">
        <f>MIN(E68,E69)</f>
        <v/>
      </c>
      <c r="F70" s="19" t="n"/>
    </row>
    <row r="71">
      <c r="A71" s="19" t="n"/>
      <c r="B71" s="20" t="inlineStr">
        <is>
          <t>AuthorizedRiskScore</t>
        </is>
      </c>
      <c r="C71" s="17" t="inlineStr">
        <is>
          <t>RiskLevelToScoreMappings</t>
        </is>
      </c>
      <c r="D71" s="15" t="inlineStr">
        <is>
          <t>max copyable risk score</t>
        </is>
      </c>
      <c r="E71" s="26">
        <f>IFERROR(VLOOKUP(E70,Scoring!$A$94:$C$98,3,FALSE),"")</f>
        <v/>
      </c>
      <c r="F71" s="19" t="n"/>
    </row>
    <row r="72">
      <c r="A72" s="19" t="n"/>
      <c r="B72" s="20" t="inlineStr">
        <is>
          <t>SuitabilityBlock (hard block)</t>
        </is>
      </c>
      <c r="C72" s="17" t="inlineStr">
        <is>
          <t>ALL 4 conditions above must be met</t>
        </is>
      </c>
      <c r="D72" s="27" t="n"/>
      <c r="E72" s="24">
        <f>IF(AND(E57="YES",E58="YES",E59="YES",E60="YES"),"BLOCKED","Not blocked")</f>
        <v/>
      </c>
      <c r="F72" s="19" t="n"/>
    </row>
    <row r="74" ht="26" customHeight="1">
      <c r="B74" s="28" t="inlineStr">
        <is>
          <t>OUTCOME</t>
        </is>
      </c>
      <c r="C74" s="29">
        <f>IF(E72="BLOCKED","Fully blocked from copy trading","Risk profile "&amp;D70&amp;" - may copy any trader or portfolio with a risk score of "&amp;E71&amp;" or below")</f>
        <v/>
      </c>
      <c r="D74" s="30" t="n"/>
      <c r="E74" s="30" t="n"/>
      <c r="F74" s="30" t="n"/>
    </row>
    <row r="75" ht="14" customHeight="1">
      <c r="C75" s="31">
        <f>IF(C14="Crypto trading and/or conversion","Note: no live config scores that answer to Q8, so component 5 takes the default, Medium. The funnel offers it under every regulation.",IF(OR(C14="Converting crypto to fiat",C14="Trading",C14="Investments"),"Note: the funnel offers that answer here, but only CySEC scores it. Component 5 takes the default, Medium, instead of the level CySEC would assign.",""))</f>
        <v/>
      </c>
    </row>
    <row r="76"/>
    <row r="78">
      <c r="A78" s="4" t="inlineStr">
        <is>
          <t>STEP 6 - check a specific target</t>
        </is>
      </c>
    </row>
    <row r="79">
      <c r="A79" s="19" t="n"/>
      <c r="B79" s="11" t="inlineStr">
        <is>
          <t>Target's risk score (1-10)</t>
        </is>
      </c>
      <c r="C79" s="32" t="n">
        <v>7</v>
      </c>
    </row>
    <row r="80" ht="24" customHeight="1">
      <c r="B80" s="33" t="inlineStr">
        <is>
          <t>Can this user copy it?</t>
        </is>
      </c>
      <c r="C80" s="29">
        <f>IF(E72="BLOCKED","NO - fully blocked from copy",IF(C79&lt;=E71,"YES - allowed","NO - target risk "&amp;C79&amp;" exceeds the limit of "&amp;E71))</f>
        <v/>
      </c>
      <c r="D80" s="30" t="n"/>
      <c r="E80" s="30" t="n"/>
      <c r="F80" s="30" t="n"/>
    </row>
    <row r="82">
      <c r="B82" s="14" t="inlineStr">
        <is>
          <t>This sheet models gates 1 and 2. Gate 3, ongoing monitoring, is a separate daily solvency check - see the Monitoring sheet. A user can pass here and still be blocked from opening new copies.</t>
        </is>
      </c>
    </row>
  </sheetData>
  <mergeCells count="12">
    <mergeCell ref="B26:F28"/>
    <mergeCell ref="A2:F2"/>
    <mergeCell ref="C74:F74"/>
    <mergeCell ref="C75:F76"/>
    <mergeCell ref="B39:F39"/>
    <mergeCell ref="C80:F80"/>
    <mergeCell ref="B82:F82"/>
    <mergeCell ref="B24:F24"/>
    <mergeCell ref="B20:F21"/>
    <mergeCell ref="B37:F38"/>
    <mergeCell ref="B54:F55"/>
    <mergeCell ref="B62:F64"/>
  </mergeCells>
  <dataValidations count="20">
    <dataValidation sqref="C6" showDropDown="0" showInputMessage="0" showErrorMessage="0" allowBlank="0" type="list">
      <formula1>Lists!$A$3:$A$6</formula1>
    </dataValidation>
    <dataValidation sqref="C7" showDropDown="0" showInputMessage="0" showErrorMessage="0" allowBlank="0" type="list">
      <formula1>Lists!$B$3:$B$6</formula1>
    </dataValidation>
    <dataValidation sqref="C8" showDropDown="0" showInputMessage="0" showErrorMessage="0" allowBlank="0" type="list">
      <formula1>Lists!$C$3:$C$8</formula1>
    </dataValidation>
    <dataValidation sqref="C9" showDropDown="0" showInputMessage="0" showErrorMessage="0" allowBlank="0" type="list">
      <formula1>Lists!$D$3:$D$6</formula1>
    </dataValidation>
    <dataValidation sqref="C10" showDropDown="0" showInputMessage="0" showErrorMessage="0" allowBlank="0" type="list">
      <formula1>Lists!$E$3:$E$6</formula1>
    </dataValidation>
    <dataValidation sqref="C11" showDropDown="0" showInputMessage="0" showErrorMessage="0" allowBlank="0" type="list">
      <formula1>Lists!$F$3:$F$6</formula1>
    </dataValidation>
    <dataValidation sqref="C12" showDropDown="0" showInputMessage="0" showErrorMessage="0" allowBlank="0" type="list">
      <formula1>Lists!$G$3:$G$6</formula1>
    </dataValidation>
    <dataValidation sqref="C13" showDropDown="0" showInputMessage="0" showErrorMessage="0" allowBlank="0" type="list">
      <formula1>Lists!$H$3:$H$5</formula1>
    </dataValidation>
    <dataValidation sqref="C14" showDropDown="0" showInputMessage="0" showErrorMessage="0" allowBlank="0" type="list">
      <formula1>Lists!$I$3:$I$10</formula1>
    </dataValidation>
    <dataValidation sqref="C15" showDropDown="0" showInputMessage="0" showErrorMessage="0" allowBlank="0" type="list">
      <formula1>Lists!$J$3:$J$7</formula1>
    </dataValidation>
    <dataValidation sqref="C16" showDropDown="0" showInputMessage="0" showErrorMessage="0" allowBlank="0" type="list">
      <formula1>Lists!$K$3:$K$14</formula1>
    </dataValidation>
    <dataValidation sqref="C17" showDropDown="0" showInputMessage="0" showErrorMessage="0" allowBlank="0" type="list">
      <formula1>Lists!$L$3:$L$8</formula1>
    </dataValidation>
    <dataValidation sqref="C18" showDropDown="0" showInputMessage="0" showErrorMessage="0" allowBlank="0" type="list">
      <formula1>Lists!$M$3:$M$8</formula1>
    </dataValidation>
    <dataValidation sqref="C30" showDropDown="0" showInputMessage="0" showErrorMessage="0" allowBlank="0" type="list">
      <formula1>Lists!$N$3:$N$4</formula1>
    </dataValidation>
    <dataValidation sqref="C31" showDropDown="0" showInputMessage="0" showErrorMessage="0" allowBlank="0" type="list">
      <formula1>Lists!$N$3:$N$4</formula1>
    </dataValidation>
    <dataValidation sqref="C32" showDropDown="0" showInputMessage="0" showErrorMessage="0" allowBlank="0" type="list">
      <formula1>Lists!$N$3:$N$4</formula1>
    </dataValidation>
    <dataValidation sqref="C33" showDropDown="0" showInputMessage="0" showErrorMessage="0" allowBlank="0" type="list">
      <formula1>Lists!$N$3:$N$4</formula1>
    </dataValidation>
    <dataValidation sqref="C34" showDropDown="0" showInputMessage="0" showErrorMessage="0" allowBlank="0" type="list">
      <formula1>Lists!$N$3:$N$4</formula1>
    </dataValidation>
    <dataValidation sqref="C35" showDropDown="0" showInputMessage="0" showErrorMessage="0" allowBlank="0" type="list">
      <formula1>Lists!$N$3:$N$4</formula1>
    </dataValidation>
    <dataValidation sqref="C79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0" customWidth="1" min="3" max="3"/>
    <col width="16" customWidth="1" min="4" max="4"/>
    <col width="10" customWidth="1" min="5" max="5"/>
    <col width="34" customWidth="1" min="6" max="6"/>
  </cols>
  <sheetData>
    <row r="1">
      <c r="A1" s="7" t="inlineStr">
        <is>
          <t>Suitability calculator - ASIC</t>
        </is>
      </c>
    </row>
    <row r="2">
      <c r="A2" s="8" t="inlineStr">
        <is>
          <t>Answer the yellow cells; everything else is calculated. This sheet models ASIC-9, the live configuration for ASIC. Each regulation gets its own sheet because the scored answers and the hard block differ.</t>
        </is>
      </c>
    </row>
    <row r="4">
      <c r="A4" s="4" t="inlineStr">
        <is>
          <t>STEP 1 - answer the questions</t>
        </is>
      </c>
    </row>
    <row r="5" ht="22" customHeight="1">
      <c r="A5" s="9" t="inlineStr">
        <is>
          <t>Q</t>
        </is>
      </c>
      <c r="B5" s="9" t="inlineStr">
        <is>
          <t>Question</t>
        </is>
      </c>
      <c r="C5" s="9" t="inlineStr">
        <is>
          <t>Your answer</t>
        </is>
      </c>
      <c r="D5" s="9" t="inlineStr">
        <is>
          <t>Risk level</t>
        </is>
      </c>
      <c r="E5" s="9" t="inlineStr">
        <is>
          <t>Weight</t>
        </is>
      </c>
      <c r="F5" s="9" t="inlineStr">
        <is>
          <t>Feeds</t>
        </is>
      </c>
    </row>
    <row r="6">
      <c r="A6" s="10" t="inlineStr">
        <is>
          <t>Q33</t>
        </is>
      </c>
      <c r="B6" s="11" t="inlineStr">
        <is>
          <t>How often have you traded stocks?</t>
        </is>
      </c>
      <c r="C6" s="12" t="inlineStr">
        <is>
          <t>0-10 times</t>
        </is>
      </c>
      <c r="D6" s="11">
        <f>IFERROR(VLOOKUP("Equities|"&amp;C6,Scoring!$A$5:$E$89,4,FALSE),"?")</f>
        <v/>
      </c>
      <c r="E6" s="13">
        <f>IFERROR(VLOOKUP("Equities|"&amp;C6,Scoring!$A$5:$E$89,5,FALSE),"")</f>
        <v/>
      </c>
      <c r="F6" s="10" t="inlineStr">
        <is>
          <t>Component 1</t>
        </is>
      </c>
    </row>
    <row r="7">
      <c r="A7" s="10" t="inlineStr">
        <is>
          <t>Q34</t>
        </is>
      </c>
      <c r="B7" s="11" t="inlineStr">
        <is>
          <t>How often have you traded crypto?</t>
        </is>
      </c>
      <c r="C7" s="12" t="inlineStr">
        <is>
          <t>Never traded</t>
        </is>
      </c>
      <c r="D7" s="11">
        <f>IFERROR(VLOOKUP("Crypto|"&amp;C7,Scoring!$A$5:$E$89,4,FALSE),"?")</f>
        <v/>
      </c>
      <c r="E7" s="13">
        <f>IFERROR(VLOOKUP("Crypto|"&amp;C7,Scoring!$A$5:$E$89,5,FALSE),"")</f>
        <v/>
      </c>
      <c r="F7" s="10" t="inlineStr">
        <is>
          <t>Component 1</t>
        </is>
      </c>
    </row>
    <row r="8">
      <c r="A8" s="10" t="inlineStr">
        <is>
          <t>Q35</t>
        </is>
      </c>
      <c r="B8" s="11" t="inlineStr">
        <is>
          <t>How often have you traded leveraged CFDs?</t>
        </is>
      </c>
      <c r="C8" s="12" t="inlineStr">
        <is>
          <t>Never traded</t>
        </is>
      </c>
      <c r="D8" s="11">
        <f>IFERROR(VLOOKUP("LeveragedCfd|"&amp;C8,Scoring!$A$5:$E$89,4,FALSE),"?")</f>
        <v/>
      </c>
      <c r="E8" s="13">
        <f>IFERROR(VLOOKUP("LeveragedCfd|"&amp;C8,Scoring!$A$5:$E$89,5,FALSE),"")</f>
        <v/>
      </c>
      <c r="F8" s="10" t="inlineStr">
        <is>
          <t>Component 1</t>
        </is>
      </c>
    </row>
    <row r="9">
      <c r="A9" s="10" t="inlineStr">
        <is>
          <t>Q47</t>
        </is>
      </c>
      <c r="B9" s="11" t="inlineStr">
        <is>
          <t>How much have you invested in stocks?</t>
        </is>
      </c>
      <c r="C9" s="12" t="inlineStr">
        <is>
          <t>$1 - $500</t>
        </is>
      </c>
      <c r="D9" s="11">
        <f>IFERROR(VLOOKUP("EquitiesInvestedAmount|"&amp;C9,Scoring!$A$5:$E$89,4,FALSE),"?")</f>
        <v/>
      </c>
      <c r="E9" s="13">
        <f>IFERROR(VLOOKUP("EquitiesInvestedAmount|"&amp;C9,Scoring!$A$5:$E$89,5,FALSE),"")</f>
        <v/>
      </c>
      <c r="F9" s="10" t="inlineStr">
        <is>
          <t>Component 2</t>
        </is>
      </c>
    </row>
    <row r="10">
      <c r="A10" s="10" t="inlineStr">
        <is>
          <t>Q48</t>
        </is>
      </c>
      <c r="B10" s="11" t="inlineStr">
        <is>
          <t>How much have you invested in crypto?</t>
        </is>
      </c>
      <c r="C10" s="12" t="inlineStr">
        <is>
          <t>Never</t>
        </is>
      </c>
      <c r="D10" s="11">
        <f>IFERROR(VLOOKUP("CryptoInvestedAmount|"&amp;C10,Scoring!$A$5:$E$89,4,FALSE),"?")</f>
        <v/>
      </c>
      <c r="E10" s="13">
        <f>IFERROR(VLOOKUP("CryptoInvestedAmount|"&amp;C10,Scoring!$A$5:$E$89,5,FALSE),"")</f>
        <v/>
      </c>
      <c r="F10" s="10" t="inlineStr">
        <is>
          <t>Component 2</t>
        </is>
      </c>
    </row>
    <row r="11">
      <c r="A11" s="10" t="inlineStr">
        <is>
          <t>Q45</t>
        </is>
      </c>
      <c r="B11" s="11" t="inlineStr">
        <is>
          <t>How much have you invested in leveraged CFDs?</t>
        </is>
      </c>
      <c r="C11" s="12" t="inlineStr">
        <is>
          <t>Never</t>
        </is>
      </c>
      <c r="D11" s="11">
        <f>IFERROR(VLOOKUP("LeveragedCfdInvestedAmount|"&amp;C11,Scoring!$A$5:$E$89,4,FALSE),"?")</f>
        <v/>
      </c>
      <c r="E11" s="13">
        <f>IFERROR(VLOOKUP("LeveragedCfdInvestedAmount|"&amp;C11,Scoring!$A$5:$E$89,5,FALSE),"")</f>
        <v/>
      </c>
      <c r="F11" s="10" t="inlineStr">
        <is>
          <t>Component 2</t>
        </is>
      </c>
    </row>
    <row r="12">
      <c r="A12" s="10" t="inlineStr">
        <is>
          <t>Q3</t>
        </is>
      </c>
      <c r="B12" s="11" t="inlineStr">
        <is>
          <t>What relevant financial knowledge do you have?</t>
        </is>
      </c>
      <c r="C12" s="12" t="inlineStr">
        <is>
          <t>No financial knowledge</t>
        </is>
      </c>
      <c r="D12" s="11">
        <f>IFERROR(VLOOKUP("TradingKnowledge|"&amp;C12,Scoring!$A$5:$E$89,4,FALSE),"?")</f>
        <v/>
      </c>
      <c r="E12" s="13">
        <f>IFERROR(VLOOKUP("TradingKnowledge|"&amp;C12,Scoring!$A$5:$E$89,5,FALSE),"")</f>
        <v/>
      </c>
      <c r="F12" s="10" t="inlineStr">
        <is>
          <t>Component 3</t>
        </is>
      </c>
    </row>
    <row r="13">
      <c r="A13" s="10" t="inlineStr">
        <is>
          <t>Q5</t>
        </is>
      </c>
      <c r="B13" s="11" t="inlineStr">
        <is>
          <t>How long do you typically hold a position?</t>
        </is>
      </c>
      <c r="C13" s="12" t="inlineStr">
        <is>
          <t>A few weeks up to several months</t>
        </is>
      </c>
      <c r="D13" s="11">
        <f>IFERROR(VLOOKUP("TradingStrategy|"&amp;C13,Scoring!$A$5:$E$89,4,FALSE),"?")</f>
        <v/>
      </c>
      <c r="E13" s="13">
        <f>IFERROR(VLOOKUP("TradingStrategy|"&amp;C13,Scoring!$A$5:$E$89,5,FALSE),"")</f>
        <v/>
      </c>
      <c r="F13" s="10" t="inlineStr">
        <is>
          <t>Component 4</t>
        </is>
      </c>
    </row>
    <row r="14">
      <c r="A14" s="10" t="inlineStr">
        <is>
          <t>Q8</t>
        </is>
      </c>
      <c r="B14" s="11" t="inlineStr">
        <is>
          <t>What is your primary purpose for trading?</t>
        </is>
      </c>
      <c r="C14" s="12" t="inlineStr">
        <is>
          <t>Additional revenues</t>
        </is>
      </c>
      <c r="D14" s="11">
        <f>IF(OR(C14="Converting crypto to fiat",C14="Trading",C14="Investments",C14="Crypto trading and/or conversion"),"Medium (unscored - default)",IFERROR(VLOOKUP("TradingPurpose|"&amp;C14,Scoring!$A$5:$E$89,4,FALSE),"?"))</f>
        <v/>
      </c>
      <c r="E14" s="13">
        <f>IF(OR(C14="Converting crypto to fiat",C14="Trading",C14="Investments",C14="Crypto trading and/or conversion"),2,IFERROR(VLOOKUP("TradingPurpose|"&amp;C14,Scoring!$A$5:$E$89,5,FALSE),""))</f>
        <v/>
      </c>
      <c r="F14" s="10" t="inlineStr">
        <is>
          <t>Component 5</t>
        </is>
      </c>
    </row>
    <row r="15">
      <c r="A15" s="10" t="inlineStr">
        <is>
          <t>Q9</t>
        </is>
      </c>
      <c r="B15" s="11" t="inlineStr">
        <is>
          <t>What gain and loss are you comfortable with?</t>
        </is>
      </c>
      <c r="C15" s="12" t="inlineStr">
        <is>
          <t>20% / -12%</t>
        </is>
      </c>
      <c r="D15" s="11">
        <f>IFERROR(VLOOKUP("RiskAppetite|"&amp;C15,Scoring!$A$5:$E$89,4,FALSE),"?")</f>
        <v/>
      </c>
      <c r="E15" s="13">
        <f>IFERROR(VLOOKUP("RiskAppetite|"&amp;C15,Scoring!$A$5:$E$89,5,FALSE),"")</f>
        <v/>
      </c>
      <c r="F15" s="10" t="inlineStr">
        <is>
          <t>Component 6</t>
        </is>
      </c>
    </row>
    <row r="16">
      <c r="A16" s="10" t="inlineStr">
        <is>
          <t>Q15</t>
        </is>
      </c>
      <c r="B16" s="11" t="inlineStr">
        <is>
          <t>What is your main source of income?</t>
        </is>
      </c>
      <c r="C16" s="12" t="inlineStr">
        <is>
          <t>Salary</t>
        </is>
      </c>
      <c r="D16" s="11">
        <f>IFERROR(VLOOKUP("IncomeSource|"&amp;C16,Scoring!$A$5:$E$89,4,FALSE),"?")</f>
        <v/>
      </c>
      <c r="E16" s="13">
        <f>IFERROR(VLOOKUP("IncomeSource|"&amp;C16,Scoring!$A$5:$E$89,5,FALSE),"")</f>
        <v/>
      </c>
      <c r="F16" s="10" t="inlineStr">
        <is>
          <t>Component 7</t>
        </is>
      </c>
    </row>
    <row r="17">
      <c r="A17" s="10" t="inlineStr">
        <is>
          <t>Q10</t>
        </is>
      </c>
      <c r="B17" s="11" t="inlineStr">
        <is>
          <t>What is your net annual income?</t>
        </is>
      </c>
      <c r="C17" s="12" t="inlineStr">
        <is>
          <t>$50K - $200K</t>
        </is>
      </c>
      <c r="D17" s="10" t="inlineStr">
        <is>
          <t>not scored</t>
        </is>
      </c>
      <c r="E17" s="13">
        <f>IFERROR(VLOOKUP("AnnualIncome|"&amp;C17,Scoring!$A$5:$E$89,5,FALSE),"")</f>
        <v/>
      </c>
      <c r="F17" s="10" t="inlineStr">
        <is>
          <t>Hard block only</t>
        </is>
      </c>
    </row>
    <row r="18">
      <c r="A18" s="10" t="inlineStr">
        <is>
          <t>Q11</t>
        </is>
      </c>
      <c r="B18" s="11" t="inlineStr">
        <is>
          <t>What are your total cash and liquid assets?</t>
        </is>
      </c>
      <c r="C18" s="12" t="inlineStr">
        <is>
          <t>$50K - $200K</t>
        </is>
      </c>
      <c r="D18" s="10" t="inlineStr">
        <is>
          <t>not scored</t>
        </is>
      </c>
      <c r="E18" s="13">
        <f>IFERROR(VLOOKUP("LiquidAssets|"&amp;C18,Scoring!$A$5:$E$89,5,FALSE),"")</f>
        <v/>
      </c>
      <c r="F18" s="10" t="inlineStr">
        <is>
          <t>Hard block only</t>
        </is>
      </c>
    </row>
    <row r="20">
      <c r="B20" s="14" t="inlineStr">
        <is>
          <t>ASIC-9 scores 4 of the 8 answers the funnel offers for Q8. The 4 it omits - Converting crypto to fiat; Trading; Investments; Crypto trading and/or conversion - are still selectable in the funnel here, and each one silently takes the default risk level, Medium. Pick one and the risk-level cell says so.</t>
        </is>
      </c>
    </row>
    <row r="21"/>
    <row r="23">
      <c r="A23" s="4" t="inlineStr">
        <is>
          <t>STEP 2 - Q23 complex-products knowledge assessment</t>
        </is>
      </c>
    </row>
    <row r="24">
      <c r="B24" s="14" t="inlineStr">
        <is>
          <t>Six true/false statements shown as one multi-select. Mark Yes for each statement you would tick. Two are factually true and carry +2 - the analyzer enum annotates exactly those two as the correct answers - and four are false and carry -2.</t>
        </is>
      </c>
    </row>
    <row r="26">
      <c r="B26" s="14" t="inlineStr">
        <is>
          <t>Every statement is judged, whether or not it is ticked. WeightQuestionAnswerCalculator.GetScoreByAnswerIds walks the whole group and does score += weight for a ticked answer, score -= weight for an unticked one, so ticking a true statement or leaving a false one alone both earn +2 and the opposite costs -2. The total runs -12 to +12 and no statement can contribute 0.    The one exception: tick nothing and the group is skipped entirely, so component 8 falls back to the default risk level, Medium. Q23 is IsRequiredForCopy=false, so a user can leave it alone and still copy.</t>
        </is>
      </c>
    </row>
    <row r="27"/>
    <row r="28"/>
    <row r="29" ht="22" customHeight="1">
      <c r="A29" s="9" t="inlineStr">
        <is>
          <t>ID</t>
        </is>
      </c>
      <c r="B29" s="9" t="inlineStr">
        <is>
          <t>Statement</t>
        </is>
      </c>
      <c r="C29" s="9" t="inlineStr">
        <is>
          <t>Selected?</t>
        </is>
      </c>
      <c r="D29" s="9" t="inlineStr">
        <is>
          <t>Weight</t>
        </is>
      </c>
      <c r="E29" s="9" t="inlineStr">
        <is>
          <t>Contribution</t>
        </is>
      </c>
      <c r="F29" s="9" t="inlineStr">
        <is>
          <t>Answer (config name)</t>
        </is>
      </c>
    </row>
    <row r="30" ht="39" customHeight="1">
      <c r="A30" s="15" t="n">
        <v>142</v>
      </c>
      <c r="B30" s="16" t="inlineStr">
        <is>
          <t>I deposit and invest $1,000 to open a position with $20,000 (using leverage of 20x). If the market moves 5% against my position, I'll lose my investment</t>
        </is>
      </c>
      <c r="C30" s="12" t="inlineStr">
        <is>
          <t>Yes</t>
        </is>
      </c>
      <c r="D30" s="15" t="inlineStr">
        <is>
          <t>+2</t>
        </is>
      </c>
      <c r="E30" s="13">
        <f>IF(C30="Yes",2,-2)</f>
        <v/>
      </c>
      <c r="F30" s="17" t="inlineStr">
        <is>
          <t>NewerLeverage</t>
        </is>
      </c>
    </row>
    <row r="31" ht="52" customHeight="1">
      <c r="A31" s="15" t="n">
        <v>144</v>
      </c>
      <c r="B31" s="16" t="inlineStr">
        <is>
          <t>If the total equity (i.e. the combined value of positions and available cash) in my account falls below the required margin, a "margin call" will liquidate my positions</t>
        </is>
      </c>
      <c r="C31" s="12" t="inlineStr">
        <is>
          <t>No</t>
        </is>
      </c>
      <c r="D31" s="15" t="inlineStr">
        <is>
          <t>+2</t>
        </is>
      </c>
      <c r="E31" s="13">
        <f>IF(C31="Yes",2,-2)</f>
        <v/>
      </c>
      <c r="F31" s="17" t="inlineStr">
        <is>
          <t>NewerMarginCall</t>
        </is>
      </c>
    </row>
    <row r="32" ht="39" customHeight="1">
      <c r="A32" s="15" t="n">
        <v>143</v>
      </c>
      <c r="B32" s="16" t="inlineStr">
        <is>
          <t>If the price of Google's stock rises on NASDAQ, the price of my Google contract for difference (CFD) will go down</t>
        </is>
      </c>
      <c r="C32" s="12" t="inlineStr">
        <is>
          <t>Yes</t>
        </is>
      </c>
      <c r="D32" s="15" t="inlineStr">
        <is>
          <t>-2</t>
        </is>
      </c>
      <c r="E32" s="13">
        <f>IF(C32="Yes",-2,2)</f>
        <v/>
      </c>
      <c r="F32" s="17" t="inlineStr">
        <is>
          <t>NewerCfd</t>
        </is>
      </c>
    </row>
    <row r="33" ht="26" customHeight="1">
      <c r="A33" s="15" t="n">
        <v>145</v>
      </c>
      <c r="B33" s="16" t="inlineStr">
        <is>
          <t>My open positions will remain open even when a stop loss is triggered</t>
        </is>
      </c>
      <c r="C33" s="12" t="inlineStr">
        <is>
          <t>No</t>
        </is>
      </c>
      <c r="D33" s="15" t="inlineStr">
        <is>
          <t>-2</t>
        </is>
      </c>
      <c r="E33" s="13">
        <f>IF(C33="Yes",-2,2)</f>
        <v/>
      </c>
      <c r="F33" s="17" t="inlineStr">
        <is>
          <t>NewerStopLossTrigger</t>
        </is>
      </c>
    </row>
    <row r="34" ht="26" customHeight="1">
      <c r="A34" s="15" t="n">
        <v>146</v>
      </c>
      <c r="B34" s="16" t="inlineStr">
        <is>
          <t>If the market gaps through my stop loss, my position will close at the exact stop loss level</t>
        </is>
      </c>
      <c r="C34" s="12" t="inlineStr">
        <is>
          <t>No</t>
        </is>
      </c>
      <c r="D34" s="15" t="inlineStr">
        <is>
          <t>-2</t>
        </is>
      </c>
      <c r="E34" s="13">
        <f>IF(C34="Yes",-2,2)</f>
        <v/>
      </c>
      <c r="F34" s="17" t="inlineStr">
        <is>
          <t>NewerStopLossGapThrough</t>
        </is>
      </c>
    </row>
    <row r="35" ht="39" customHeight="1">
      <c r="A35" s="15" t="n">
        <v>212</v>
      </c>
      <c r="B35" s="16" t="inlineStr">
        <is>
          <t>I will be able to sell my OTC complex products (CFD, TRS) outside of eToro platform    [RETIRED - no longer asked]</t>
        </is>
      </c>
      <c r="C35" s="18" t="inlineStr">
        <is>
          <t>No</t>
        </is>
      </c>
      <c r="D35" s="15" t="inlineStr">
        <is>
          <t>-2</t>
        </is>
      </c>
      <c r="E35" s="13">
        <f>IF(C35="Yes",-2,2)</f>
        <v/>
      </c>
      <c r="F35" s="17" t="inlineStr">
        <is>
          <t>NewerCfdTrs</t>
        </is>
      </c>
    </row>
    <row r="36">
      <c r="A36" s="19" t="n"/>
      <c r="B36" s="20" t="inlineStr">
        <is>
          <t>Total assessment score</t>
        </is>
      </c>
      <c r="C36" s="19" t="n"/>
      <c r="D36" s="19" t="n"/>
      <c r="E36" s="21">
        <f>SUM(E30:E35)</f>
        <v/>
      </c>
      <c r="F36" s="10">
        <f>IF(COUNTIF($C$30:$C$35,"Yes")=0,"nothing ticked - score not applied, component 8 falls back to Medium","reachable in production: -8 to +12")</f>
        <v/>
      </c>
    </row>
    <row r="37">
      <c r="B37" s="14" t="inlineStr">
        <is>
          <t>The last statement is scored by every live configuration but is no longer in the question catalogue, so no real user can tick it. It therefore contributes a constant +2 to everyone, which is why the reachable range is -8 to +12 rather than -12 to +12 and why High needs 4 of the 5 answerable statements rather than 5 of 6. It changes no band outcome - every threshold is 4 apart and the offset is 2. Leave it on No to model production; it stays editable only so the analyzer's own test vectors reproduce here.</t>
        </is>
      </c>
    </row>
    <row r="38"/>
    <row r="39">
      <c r="B39" s="5">
        <f>IF(--(C35="Yes")&gt;0,"Warning: a retired statement is ticked. No production user can do that - the score below is reachable only in the analyzer unit tests.","")</f>
        <v/>
      </c>
    </row>
    <row r="41">
      <c r="A41" s="4" t="inlineStr">
        <is>
          <t>STEP 3 - components</t>
        </is>
      </c>
    </row>
    <row r="42" ht="22" customHeight="1">
      <c r="A42" s="9" t="inlineStr"/>
      <c r="B42" s="9" t="inlineStr">
        <is>
          <t>Component</t>
        </is>
      </c>
      <c r="C42" s="9" t="inlineStr">
        <is>
          <t>Rule</t>
        </is>
      </c>
      <c r="D42" s="9" t="inlineStr">
        <is>
          <t>Risk level</t>
        </is>
      </c>
      <c r="E42" s="9" t="inlineStr">
        <is>
          <t>Weight</t>
        </is>
      </c>
      <c r="F42" s="9" t="inlineStr">
        <is>
          <t>Factor</t>
        </is>
      </c>
    </row>
    <row r="43">
      <c r="A43" s="19" t="n"/>
      <c r="B43" s="11" t="inlineStr">
        <is>
          <t>Component 1 - experience frequency</t>
        </is>
      </c>
      <c r="C43" s="10" t="inlineStr">
        <is>
          <t>MAX(stocks, crypto, CFD)</t>
        </is>
      </c>
      <c r="D43" s="11">
        <f>IFERROR(VLOOKUP(E43,Scoring!$A$94:$C$98,2,FALSE),"")</f>
        <v/>
      </c>
      <c r="E43" s="21">
        <f>MAX(E6,E7,E8)</f>
        <v/>
      </c>
      <c r="F43" s="10" t="inlineStr">
        <is>
          <t>Factor B</t>
        </is>
      </c>
    </row>
    <row r="44">
      <c r="A44" s="19" t="n"/>
      <c r="B44" s="11" t="inlineStr">
        <is>
          <t>Component 2 - experience volume</t>
        </is>
      </c>
      <c r="C44" s="10" t="inlineStr">
        <is>
          <t>MAX(stocks, crypto, CFD)</t>
        </is>
      </c>
      <c r="D44" s="11">
        <f>IFERROR(VLOOKUP(E44,Scoring!$A$94:$C$98,2,FALSE),"")</f>
        <v/>
      </c>
      <c r="E44" s="21">
        <f>MAX(E9,E10,E11)</f>
        <v/>
      </c>
      <c r="F44" s="10" t="inlineStr">
        <is>
          <t>Factor B</t>
        </is>
      </c>
    </row>
    <row r="45">
      <c r="A45" s="19" t="n"/>
      <c r="B45" s="11" t="inlineStr">
        <is>
          <t>Component 3 - trading knowledge</t>
        </is>
      </c>
      <c r="C45" s="10" t="inlineStr">
        <is>
          <t>single question</t>
        </is>
      </c>
      <c r="D45" s="11">
        <f>IFERROR(VLOOKUP(E45,Scoring!$A$94:$C$98,2,FALSE),"")</f>
        <v/>
      </c>
      <c r="E45" s="21">
        <f>E12</f>
        <v/>
      </c>
      <c r="F45" s="10" t="inlineStr">
        <is>
          <t>Factor B</t>
        </is>
      </c>
    </row>
    <row r="46">
      <c r="A46" s="19" t="n"/>
      <c r="B46" s="11" t="inlineStr">
        <is>
          <t>Component 4 - trading strategy</t>
        </is>
      </c>
      <c r="C46" s="10" t="inlineStr">
        <is>
          <t>single question</t>
        </is>
      </c>
      <c r="D46" s="11">
        <f>IFERROR(VLOOKUP(E46,Scoring!$A$94:$C$98,2,FALSE),"")</f>
        <v/>
      </c>
      <c r="E46" s="21">
        <f>E13</f>
        <v/>
      </c>
      <c r="F46" s="10" t="inlineStr">
        <is>
          <t>Factor B</t>
        </is>
      </c>
    </row>
    <row r="47">
      <c r="A47" s="19" t="n"/>
      <c r="B47" s="11" t="inlineStr">
        <is>
          <t>Component 5 - purpose of trading</t>
        </is>
      </c>
      <c r="C47" s="10" t="inlineStr">
        <is>
          <t>single question</t>
        </is>
      </c>
      <c r="D47" s="11">
        <f>IFERROR(VLOOKUP(E47,Scoring!$A$94:$C$98,2,FALSE),"")</f>
        <v/>
      </c>
      <c r="E47" s="21">
        <f>E14</f>
        <v/>
      </c>
      <c r="F47" s="10" t="inlineStr">
        <is>
          <t>Factor A</t>
        </is>
      </c>
    </row>
    <row r="48">
      <c r="A48" s="19" t="n"/>
      <c r="B48" s="11" t="inlineStr">
        <is>
          <t>Component 6 - risk appetite</t>
        </is>
      </c>
      <c r="C48" s="10" t="inlineStr">
        <is>
          <t>single question</t>
        </is>
      </c>
      <c r="D48" s="11">
        <f>IFERROR(VLOOKUP(E48,Scoring!$A$94:$C$98,2,FALSE),"")</f>
        <v/>
      </c>
      <c r="E48" s="21">
        <f>E15</f>
        <v/>
      </c>
      <c r="F48" s="10" t="inlineStr">
        <is>
          <t>Factor A</t>
        </is>
      </c>
    </row>
    <row r="49">
      <c r="A49" s="19" t="n"/>
      <c r="B49" s="11" t="inlineStr">
        <is>
          <t>Component 7 - source of income</t>
        </is>
      </c>
      <c r="C49" s="10" t="inlineStr">
        <is>
          <t>single question</t>
        </is>
      </c>
      <c r="D49" s="11">
        <f>IFERROR(VLOOKUP(E49,Scoring!$A$94:$C$98,2,FALSE),"")</f>
        <v/>
      </c>
      <c r="E49" s="21">
        <f>E16</f>
        <v/>
      </c>
      <c r="F49" s="10" t="inlineStr">
        <is>
          <t>Factor B</t>
        </is>
      </c>
    </row>
    <row r="50">
      <c r="A50" s="19" t="n"/>
      <c r="B50" s="11" t="inlineStr">
        <is>
          <t>Component 8 - knowledge assessment</t>
        </is>
      </c>
      <c r="C50" s="10" t="inlineStr">
        <is>
          <t>score -&gt; band, Medium if nothing ticked</t>
        </is>
      </c>
      <c r="D50" s="11">
        <f>IFERROR(VLOOKUP(E50,Scoring!$A$94:$C$98,2,FALSE),"")</f>
        <v/>
      </c>
      <c r="E50" s="21">
        <f>IF(COUNTIF($C$30:$C$35,"Yes")=0,2,LOOKUP(E36,Scoring!$A$113:$A$116,Scoring!$B$113:$B$116))</f>
        <v/>
      </c>
      <c r="F50" s="10" t="inlineStr">
        <is>
          <t>Factor B</t>
        </is>
      </c>
    </row>
    <row r="51">
      <c r="A51" s="19" t="n"/>
      <c r="B51" s="10" t="inlineStr">
        <is>
          <t>Component 9 - MiCA crypto assessment    not part of this regulation</t>
        </is>
      </c>
      <c r="C51" s="19" t="n"/>
      <c r="D51" s="19" t="n"/>
      <c r="E51" s="19" t="n"/>
      <c r="F51" s="10" t="inlineStr">
        <is>
          <t>CySEC only</t>
        </is>
      </c>
    </row>
    <row r="53">
      <c r="A53" s="4" t="inlineStr">
        <is>
          <t>STEP 4 - SuitabilityBlock - the hard block</t>
        </is>
      </c>
    </row>
    <row r="54">
      <c r="B54" s="14" t="inlineStr">
        <is>
          <t>ASIC-9 defines one check with Condition: All, so every row below has to be true before the user is blocked from copy entirely. A question the user has not answered makes its row false, which is why an incomplete profile is never blocked.</t>
        </is>
      </c>
    </row>
    <row r="55"/>
    <row r="56" ht="22" customHeight="1">
      <c r="A56" s="9" t="inlineStr"/>
      <c r="B56" s="9" t="inlineStr">
        <is>
          <t>Condition</t>
        </is>
      </c>
      <c r="C56" s="9" t="inlineStr">
        <is>
          <t>Blocking answers in this config</t>
        </is>
      </c>
      <c r="D56" s="9" t="inlineStr">
        <is>
          <t>Your answer</t>
        </is>
      </c>
      <c r="E56" s="9" t="inlineStr">
        <is>
          <t>Met?</t>
        </is>
      </c>
      <c r="F56" s="9" t="inlineStr"/>
    </row>
    <row r="57">
      <c r="A57" s="19" t="n"/>
      <c r="B57" s="11" t="inlineStr">
        <is>
          <t>Q9 gain/loss comfort is</t>
        </is>
      </c>
      <c r="C57" s="22" t="inlineStr">
        <is>
          <t>5% / -3%</t>
        </is>
      </c>
      <c r="D57" s="11">
        <f>C15</f>
        <v/>
      </c>
      <c r="E57" s="13">
        <f>IF(OR(C15="5% / -3%"),"YES","no")</f>
        <v/>
      </c>
      <c r="F57" s="19" t="n"/>
    </row>
    <row r="58">
      <c r="A58" s="19" t="n"/>
      <c r="B58" s="11" t="inlineStr">
        <is>
          <t>Q8 purpose of trading is</t>
        </is>
      </c>
      <c r="C58" s="22" t="inlineStr">
        <is>
          <t>Future planning, Saving for a home</t>
        </is>
      </c>
      <c r="D58" s="11">
        <f>C14</f>
        <v/>
      </c>
      <c r="E58" s="13">
        <f>IF(OR(C14="Future planning",C14="Saving for a home"),"YES","no")</f>
        <v/>
      </c>
      <c r="F58" s="19" t="n"/>
    </row>
    <row r="59">
      <c r="A59" s="19" t="n"/>
      <c r="B59" s="11" t="inlineStr">
        <is>
          <t>Q10 net annual income is</t>
        </is>
      </c>
      <c r="C59" s="22" t="inlineStr">
        <is>
          <t>Up to $10K, $10K - $50K, $50K - $200K</t>
        </is>
      </c>
      <c r="D59" s="11">
        <f>C17</f>
        <v/>
      </c>
      <c r="E59" s="13">
        <f>IF(OR(C17="Up to $10K",C17="$10K - $50K",C17="$50K - $200K"),"YES","no")</f>
        <v/>
      </c>
      <c r="F59" s="19" t="n"/>
    </row>
    <row r="60">
      <c r="A60" s="19" t="n"/>
      <c r="B60" s="11" t="inlineStr">
        <is>
          <t>Q11 cash and liquid assets are</t>
        </is>
      </c>
      <c r="C60" s="22" t="inlineStr">
        <is>
          <t>Up to $10K, $10K - $50K, $50K - $200K</t>
        </is>
      </c>
      <c r="D60" s="11">
        <f>C18</f>
        <v/>
      </c>
      <c r="E60" s="13">
        <f>IF(OR(C18="Up to $10K",C18="$10K - $50K",C18="$50K - $200K"),"YES","no")</f>
        <v/>
      </c>
      <c r="F60" s="19" t="n"/>
    </row>
    <row r="61">
      <c r="A61" s="19" t="n"/>
      <c r="B61" s="10" t="inlineStr">
        <is>
          <t>Check DefaultResult in the config</t>
        </is>
      </c>
      <c r="C61" s="17" t="inlineStr">
        <is>
          <t>not set</t>
        </is>
      </c>
      <c r="D61" s="10" t="inlineStr">
        <is>
          <t>not reached on this code path</t>
        </is>
      </c>
      <c r="E61" s="19" t="n"/>
      <c r="F61" s="19" t="n"/>
    </row>
    <row r="63">
      <c r="A63" s="4" t="inlineStr">
        <is>
          <t>STEP 5 - result</t>
        </is>
      </c>
    </row>
    <row r="64" ht="22" customHeight="1">
      <c r="A64" s="9" t="inlineStr"/>
      <c r="B64" s="9" t="inlineStr">
        <is>
          <t>Output</t>
        </is>
      </c>
      <c r="C64" s="9" t="inlineStr">
        <is>
          <t>Formula</t>
        </is>
      </c>
      <c r="D64" s="9" t="inlineStr">
        <is>
          <t>Risk level</t>
        </is>
      </c>
      <c r="E64" s="9" t="inlineStr">
        <is>
          <t>Value</t>
        </is>
      </c>
      <c r="F64" s="9" t="inlineStr"/>
    </row>
    <row r="65">
      <c r="A65" s="19" t="n"/>
      <c r="B65" s="11" t="inlineStr">
        <is>
          <t>Factor A</t>
        </is>
      </c>
      <c r="C65" s="17" t="inlineStr">
        <is>
          <t>MIN(C5, C6)</t>
        </is>
      </c>
      <c r="D65" s="23">
        <f>IFERROR(VLOOKUP(E65,Scoring!$A$94:$C$98,2,FALSE),"")</f>
        <v/>
      </c>
      <c r="E65" s="24">
        <f>MIN(E47,E48)</f>
        <v/>
      </c>
      <c r="F65" s="19" t="n"/>
    </row>
    <row r="66">
      <c r="A66" s="19" t="n"/>
      <c r="B66" s="11" t="inlineStr">
        <is>
          <t>Factor B</t>
        </is>
      </c>
      <c r="C66" s="17" t="inlineStr">
        <is>
          <t>ROUNDDOWN(AVERAGE(C1,C2,C3,C4,C7,C8),0)</t>
        </is>
      </c>
      <c r="D66" s="23">
        <f>IFERROR(VLOOKUP(E66,Scoring!$A$94:$C$98,2,FALSE),"")</f>
        <v/>
      </c>
      <c r="E66" s="24">
        <f>ROUNDDOWN(AVERAGE(E43,E44,E45,E46,E49,E50),0)</f>
        <v/>
      </c>
      <c r="F66" s="19" t="n"/>
    </row>
    <row r="67">
      <c r="A67" s="19" t="n"/>
      <c r="B67" s="20" t="inlineStr">
        <is>
          <t>ClientRiskLevel</t>
        </is>
      </c>
      <c r="C67" s="17" t="inlineStr">
        <is>
          <t>MIN(Factor A, Factor B)</t>
        </is>
      </c>
      <c r="D67" s="25">
        <f>IFERROR(VLOOKUP(E67,Scoring!$A$94:$C$98,2,FALSE),"")</f>
        <v/>
      </c>
      <c r="E67" s="24">
        <f>MIN(E65,E66)</f>
        <v/>
      </c>
      <c r="F67" s="19" t="n"/>
    </row>
    <row r="68">
      <c r="A68" s="19" t="n"/>
      <c r="B68" s="20" t="inlineStr">
        <is>
          <t>AuthorizedRiskScore</t>
        </is>
      </c>
      <c r="C68" s="17" t="inlineStr">
        <is>
          <t>RiskLevelToScoreMappings</t>
        </is>
      </c>
      <c r="D68" s="15" t="inlineStr">
        <is>
          <t>max copyable risk score</t>
        </is>
      </c>
      <c r="E68" s="26">
        <f>IFERROR(VLOOKUP(E67,Scoring!$A$94:$C$98,3,FALSE),"")</f>
        <v/>
      </c>
      <c r="F68" s="19" t="n"/>
    </row>
    <row r="69">
      <c r="A69" s="19" t="n"/>
      <c r="B69" s="20" t="inlineStr">
        <is>
          <t>SuitabilityBlock (hard block)</t>
        </is>
      </c>
      <c r="C69" s="17" t="inlineStr">
        <is>
          <t>ALL 4 conditions above must be met</t>
        </is>
      </c>
      <c r="D69" s="27" t="n"/>
      <c r="E69" s="24">
        <f>IF(AND(E57="YES",E58="YES",E59="YES",E60="YES"),"BLOCKED","Not blocked")</f>
        <v/>
      </c>
      <c r="F69" s="19" t="n"/>
    </row>
    <row r="71" ht="26" customHeight="1">
      <c r="B71" s="28" t="inlineStr">
        <is>
          <t>OUTCOME</t>
        </is>
      </c>
      <c r="C71" s="29">
        <f>IF(E69="BLOCKED","Fully blocked from copy trading","Risk profile "&amp;D67&amp;" - may copy any trader or portfolio with a risk score of "&amp;E68&amp;" or below")</f>
        <v/>
      </c>
      <c r="D71" s="30" t="n"/>
      <c r="E71" s="30" t="n"/>
      <c r="F71" s="30" t="n"/>
    </row>
    <row r="72" ht="14" customHeight="1">
      <c r="C72" s="31">
        <f>IF(C14="Crypto trading and/or conversion","Note: no live config scores that answer to Q8, so component 5 takes the default, Medium. The funnel offers it under every regulation.",IF(OR(C14="Converting crypto to fiat",C14="Trading",C14="Investments"),"Note: the funnel offers that answer here, but only CySEC scores it. Component 5 takes the default, Medium, instead of the level CySEC would assign.",""))</f>
        <v/>
      </c>
    </row>
    <row r="73"/>
    <row r="75">
      <c r="A75" s="4" t="inlineStr">
        <is>
          <t>STEP 6 - check a specific target</t>
        </is>
      </c>
    </row>
    <row r="76">
      <c r="A76" s="19" t="n"/>
      <c r="B76" s="11" t="inlineStr">
        <is>
          <t>Target's risk score (1-10)</t>
        </is>
      </c>
      <c r="C76" s="32" t="n">
        <v>7</v>
      </c>
    </row>
    <row r="77" ht="24" customHeight="1">
      <c r="B77" s="33" t="inlineStr">
        <is>
          <t>Can this user copy it?</t>
        </is>
      </c>
      <c r="C77" s="29">
        <f>IF(E69="BLOCKED","NO - fully blocked from copy",IF(C76&lt;=E68,"YES - allowed","NO - target risk "&amp;C76&amp;" exceeds the limit of "&amp;E68))</f>
        <v/>
      </c>
      <c r="D77" s="30" t="n"/>
      <c r="E77" s="30" t="n"/>
      <c r="F77" s="30" t="n"/>
    </row>
    <row r="79">
      <c r="B79" s="14" t="inlineStr">
        <is>
          <t>This sheet models gates 1 and 2. Gate 3, ongoing monitoring, is a separate daily solvency check - see the Monitoring sheet. A user can pass here and still be blocked from opening new copies.</t>
        </is>
      </c>
    </row>
  </sheetData>
  <mergeCells count="11">
    <mergeCell ref="B26:F28"/>
    <mergeCell ref="A2:F2"/>
    <mergeCell ref="B39:F39"/>
    <mergeCell ref="B24:F24"/>
    <mergeCell ref="C77:F77"/>
    <mergeCell ref="B20:F21"/>
    <mergeCell ref="B37:F38"/>
    <mergeCell ref="C71:F71"/>
    <mergeCell ref="C72:F73"/>
    <mergeCell ref="B79:F79"/>
    <mergeCell ref="B54:F55"/>
  </mergeCells>
  <dataValidations count="20">
    <dataValidation sqref="C6" showDropDown="0" showInputMessage="0" showErrorMessage="0" allowBlank="0" type="list">
      <formula1>Lists!$A$3:$A$6</formula1>
    </dataValidation>
    <dataValidation sqref="C7" showDropDown="0" showInputMessage="0" showErrorMessage="0" allowBlank="0" type="list">
      <formula1>Lists!$B$3:$B$6</formula1>
    </dataValidation>
    <dataValidation sqref="C8" showDropDown="0" showInputMessage="0" showErrorMessage="0" allowBlank="0" type="list">
      <formula1>Lists!$C$3:$C$8</formula1>
    </dataValidation>
    <dataValidation sqref="C9" showDropDown="0" showInputMessage="0" showErrorMessage="0" allowBlank="0" type="list">
      <formula1>Lists!$D$3:$D$6</formula1>
    </dataValidation>
    <dataValidation sqref="C10" showDropDown="0" showInputMessage="0" showErrorMessage="0" allowBlank="0" type="list">
      <formula1>Lists!$E$3:$E$6</formula1>
    </dataValidation>
    <dataValidation sqref="C11" showDropDown="0" showInputMessage="0" showErrorMessage="0" allowBlank="0" type="list">
      <formula1>Lists!$F$3:$F$6</formula1>
    </dataValidation>
    <dataValidation sqref="C12" showDropDown="0" showInputMessage="0" showErrorMessage="0" allowBlank="0" type="list">
      <formula1>Lists!$G$3:$G$6</formula1>
    </dataValidation>
    <dataValidation sqref="C13" showDropDown="0" showInputMessage="0" showErrorMessage="0" allowBlank="0" type="list">
      <formula1>Lists!$H$3:$H$5</formula1>
    </dataValidation>
    <dataValidation sqref="C14" showDropDown="0" showInputMessage="0" showErrorMessage="0" allowBlank="0" type="list">
      <formula1>Lists!$I$3:$I$10</formula1>
    </dataValidation>
    <dataValidation sqref="C15" showDropDown="0" showInputMessage="0" showErrorMessage="0" allowBlank="0" type="list">
      <formula1>Lists!$J$3:$J$7</formula1>
    </dataValidation>
    <dataValidation sqref="C16" showDropDown="0" showInputMessage="0" showErrorMessage="0" allowBlank="0" type="list">
      <formula1>Lists!$K$3:$K$14</formula1>
    </dataValidation>
    <dataValidation sqref="C17" showDropDown="0" showInputMessage="0" showErrorMessage="0" allowBlank="0" type="list">
      <formula1>Lists!$L$3:$L$8</formula1>
    </dataValidation>
    <dataValidation sqref="C18" showDropDown="0" showInputMessage="0" showErrorMessage="0" allowBlank="0" type="list">
      <formula1>Lists!$M$3:$M$8</formula1>
    </dataValidation>
    <dataValidation sqref="C30" showDropDown="0" showInputMessage="0" showErrorMessage="0" allowBlank="0" type="list">
      <formula1>Lists!$N$3:$N$4</formula1>
    </dataValidation>
    <dataValidation sqref="C31" showDropDown="0" showInputMessage="0" showErrorMessage="0" allowBlank="0" type="list">
      <formula1>Lists!$N$3:$N$4</formula1>
    </dataValidation>
    <dataValidation sqref="C32" showDropDown="0" showInputMessage="0" showErrorMessage="0" allowBlank="0" type="list">
      <formula1>Lists!$N$3:$N$4</formula1>
    </dataValidation>
    <dataValidation sqref="C33" showDropDown="0" showInputMessage="0" showErrorMessage="0" allowBlank="0" type="list">
      <formula1>Lists!$N$3:$N$4</formula1>
    </dataValidation>
    <dataValidation sqref="C34" showDropDown="0" showInputMessage="0" showErrorMessage="0" allowBlank="0" type="list">
      <formula1>Lists!$N$3:$N$4</formula1>
    </dataValidation>
    <dataValidation sqref="C35" showDropDown="0" showInputMessage="0" showErrorMessage="0" allowBlank="0" type="list">
      <formula1>Lists!$N$3:$N$4</formula1>
    </dataValidation>
    <dataValidation sqref="C76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0" customWidth="1" min="3" max="3"/>
    <col width="16" customWidth="1" min="4" max="4"/>
    <col width="10" customWidth="1" min="5" max="5"/>
    <col width="34" customWidth="1" min="6" max="6"/>
  </cols>
  <sheetData>
    <row r="1">
      <c r="A1" s="7" t="inlineStr">
        <is>
          <t>Suitability calculator - ASIC GAML</t>
        </is>
      </c>
    </row>
    <row r="2">
      <c r="A2" s="8" t="inlineStr">
        <is>
          <t>Answer the yellow cells; everything else is calculated. This sheet models ASICGAML-15, the live configuration for ASIC GAML. Each regulation gets its own sheet because the scored answers and the hard block differ.</t>
        </is>
      </c>
    </row>
    <row r="4">
      <c r="A4" s="4" t="inlineStr">
        <is>
          <t>STEP 1 - answer the questions</t>
        </is>
      </c>
    </row>
    <row r="5" ht="22" customHeight="1">
      <c r="A5" s="9" t="inlineStr">
        <is>
          <t>Q</t>
        </is>
      </c>
      <c r="B5" s="9" t="inlineStr">
        <is>
          <t>Question</t>
        </is>
      </c>
      <c r="C5" s="9" t="inlineStr">
        <is>
          <t>Your answer</t>
        </is>
      </c>
      <c r="D5" s="9" t="inlineStr">
        <is>
          <t>Risk level</t>
        </is>
      </c>
      <c r="E5" s="9" t="inlineStr">
        <is>
          <t>Weight</t>
        </is>
      </c>
      <c r="F5" s="9" t="inlineStr">
        <is>
          <t>Feeds</t>
        </is>
      </c>
    </row>
    <row r="6">
      <c r="A6" s="10" t="inlineStr">
        <is>
          <t>Q33</t>
        </is>
      </c>
      <c r="B6" s="11" t="inlineStr">
        <is>
          <t>How often have you traded stocks?</t>
        </is>
      </c>
      <c r="C6" s="12" t="inlineStr">
        <is>
          <t>0-10 times</t>
        </is>
      </c>
      <c r="D6" s="11">
        <f>IFERROR(VLOOKUP("Equities|"&amp;C6,Scoring!$A$5:$E$89,4,FALSE),"?")</f>
        <v/>
      </c>
      <c r="E6" s="13">
        <f>IFERROR(VLOOKUP("Equities|"&amp;C6,Scoring!$A$5:$E$89,5,FALSE),"")</f>
        <v/>
      </c>
      <c r="F6" s="10" t="inlineStr">
        <is>
          <t>Component 1</t>
        </is>
      </c>
    </row>
    <row r="7">
      <c r="A7" s="10" t="inlineStr">
        <is>
          <t>Q34</t>
        </is>
      </c>
      <c r="B7" s="11" t="inlineStr">
        <is>
          <t>How often have you traded crypto?</t>
        </is>
      </c>
      <c r="C7" s="12" t="inlineStr">
        <is>
          <t>Never traded</t>
        </is>
      </c>
      <c r="D7" s="11">
        <f>IFERROR(VLOOKUP("Crypto|"&amp;C7,Scoring!$A$5:$E$89,4,FALSE),"?")</f>
        <v/>
      </c>
      <c r="E7" s="13">
        <f>IFERROR(VLOOKUP("Crypto|"&amp;C7,Scoring!$A$5:$E$89,5,FALSE),"")</f>
        <v/>
      </c>
      <c r="F7" s="10" t="inlineStr">
        <is>
          <t>Component 1</t>
        </is>
      </c>
    </row>
    <row r="8">
      <c r="A8" s="10" t="inlineStr">
        <is>
          <t>Q35</t>
        </is>
      </c>
      <c r="B8" s="11" t="inlineStr">
        <is>
          <t>How often have you traded leveraged CFDs?</t>
        </is>
      </c>
      <c r="C8" s="12" t="inlineStr">
        <is>
          <t>Never traded</t>
        </is>
      </c>
      <c r="D8" s="11">
        <f>IFERROR(VLOOKUP("LeveragedCfd|"&amp;C8,Scoring!$A$5:$E$89,4,FALSE),"?")</f>
        <v/>
      </c>
      <c r="E8" s="13">
        <f>IFERROR(VLOOKUP("LeveragedCfd|"&amp;C8,Scoring!$A$5:$E$89,5,FALSE),"")</f>
        <v/>
      </c>
      <c r="F8" s="10" t="inlineStr">
        <is>
          <t>Component 1</t>
        </is>
      </c>
    </row>
    <row r="9">
      <c r="A9" s="10" t="inlineStr">
        <is>
          <t>Q47</t>
        </is>
      </c>
      <c r="B9" s="11" t="inlineStr">
        <is>
          <t>How much have you invested in stocks?</t>
        </is>
      </c>
      <c r="C9" s="12" t="inlineStr">
        <is>
          <t>$1 - $500</t>
        </is>
      </c>
      <c r="D9" s="11">
        <f>IFERROR(VLOOKUP("EquitiesInvestedAmount|"&amp;C9,Scoring!$A$5:$E$89,4,FALSE),"?")</f>
        <v/>
      </c>
      <c r="E9" s="13">
        <f>IFERROR(VLOOKUP("EquitiesInvestedAmount|"&amp;C9,Scoring!$A$5:$E$89,5,FALSE),"")</f>
        <v/>
      </c>
      <c r="F9" s="10" t="inlineStr">
        <is>
          <t>Component 2</t>
        </is>
      </c>
    </row>
    <row r="10">
      <c r="A10" s="10" t="inlineStr">
        <is>
          <t>Q48</t>
        </is>
      </c>
      <c r="B10" s="11" t="inlineStr">
        <is>
          <t>How much have you invested in crypto?</t>
        </is>
      </c>
      <c r="C10" s="12" t="inlineStr">
        <is>
          <t>Never</t>
        </is>
      </c>
      <c r="D10" s="11">
        <f>IFERROR(VLOOKUP("CryptoInvestedAmount|"&amp;C10,Scoring!$A$5:$E$89,4,FALSE),"?")</f>
        <v/>
      </c>
      <c r="E10" s="13">
        <f>IFERROR(VLOOKUP("CryptoInvestedAmount|"&amp;C10,Scoring!$A$5:$E$89,5,FALSE),"")</f>
        <v/>
      </c>
      <c r="F10" s="10" t="inlineStr">
        <is>
          <t>Component 2</t>
        </is>
      </c>
    </row>
    <row r="11">
      <c r="A11" s="10" t="inlineStr">
        <is>
          <t>Q45</t>
        </is>
      </c>
      <c r="B11" s="11" t="inlineStr">
        <is>
          <t>How much have you invested in leveraged CFDs?</t>
        </is>
      </c>
      <c r="C11" s="12" t="inlineStr">
        <is>
          <t>Never</t>
        </is>
      </c>
      <c r="D11" s="11">
        <f>IFERROR(VLOOKUP("LeveragedCfdInvestedAmount|"&amp;C11,Scoring!$A$5:$E$89,4,FALSE),"?")</f>
        <v/>
      </c>
      <c r="E11" s="13">
        <f>IFERROR(VLOOKUP("LeveragedCfdInvestedAmount|"&amp;C11,Scoring!$A$5:$E$89,5,FALSE),"")</f>
        <v/>
      </c>
      <c r="F11" s="10" t="inlineStr">
        <is>
          <t>Component 2</t>
        </is>
      </c>
    </row>
    <row r="12">
      <c r="A12" s="10" t="inlineStr">
        <is>
          <t>Q3</t>
        </is>
      </c>
      <c r="B12" s="11" t="inlineStr">
        <is>
          <t>What relevant financial knowledge do you have?</t>
        </is>
      </c>
      <c r="C12" s="12" t="inlineStr">
        <is>
          <t>No financial knowledge</t>
        </is>
      </c>
      <c r="D12" s="11">
        <f>IFERROR(VLOOKUP("TradingKnowledge|"&amp;C12,Scoring!$A$5:$E$89,4,FALSE),"?")</f>
        <v/>
      </c>
      <c r="E12" s="13">
        <f>IFERROR(VLOOKUP("TradingKnowledge|"&amp;C12,Scoring!$A$5:$E$89,5,FALSE),"")</f>
        <v/>
      </c>
      <c r="F12" s="10" t="inlineStr">
        <is>
          <t>Component 3</t>
        </is>
      </c>
    </row>
    <row r="13">
      <c r="A13" s="10" t="inlineStr">
        <is>
          <t>Q5</t>
        </is>
      </c>
      <c r="B13" s="11" t="inlineStr">
        <is>
          <t>How long do you typically hold a position?</t>
        </is>
      </c>
      <c r="C13" s="12" t="inlineStr">
        <is>
          <t>A few weeks up to several months</t>
        </is>
      </c>
      <c r="D13" s="11">
        <f>IFERROR(VLOOKUP("TradingStrategy|"&amp;C13,Scoring!$A$5:$E$89,4,FALSE),"?")</f>
        <v/>
      </c>
      <c r="E13" s="13">
        <f>IFERROR(VLOOKUP("TradingStrategy|"&amp;C13,Scoring!$A$5:$E$89,5,FALSE),"")</f>
        <v/>
      </c>
      <c r="F13" s="10" t="inlineStr">
        <is>
          <t>Component 4</t>
        </is>
      </c>
    </row>
    <row r="14">
      <c r="A14" s="10" t="inlineStr">
        <is>
          <t>Q8</t>
        </is>
      </c>
      <c r="B14" s="11" t="inlineStr">
        <is>
          <t>What is your primary purpose for trading?</t>
        </is>
      </c>
      <c r="C14" s="12" t="inlineStr">
        <is>
          <t>Additional revenues</t>
        </is>
      </c>
      <c r="D14" s="11">
        <f>IF(OR(C14="Converting crypto to fiat",C14="Trading",C14="Investments",C14="Crypto trading and/or conversion"),"Medium (unscored - default)",IFERROR(VLOOKUP("TradingPurpose|"&amp;C14,Scoring!$A$5:$E$89,4,FALSE),"?"))</f>
        <v/>
      </c>
      <c r="E14" s="13">
        <f>IF(OR(C14="Converting crypto to fiat",C14="Trading",C14="Investments",C14="Crypto trading and/or conversion"),2,IFERROR(VLOOKUP("TradingPurpose|"&amp;C14,Scoring!$A$5:$E$89,5,FALSE),""))</f>
        <v/>
      </c>
      <c r="F14" s="10" t="inlineStr">
        <is>
          <t>Component 5</t>
        </is>
      </c>
    </row>
    <row r="15">
      <c r="A15" s="10" t="inlineStr">
        <is>
          <t>Q9</t>
        </is>
      </c>
      <c r="B15" s="11" t="inlineStr">
        <is>
          <t>What gain and loss are you comfortable with?</t>
        </is>
      </c>
      <c r="C15" s="12" t="inlineStr">
        <is>
          <t>20% / -12%</t>
        </is>
      </c>
      <c r="D15" s="11">
        <f>IFERROR(VLOOKUP("RiskAppetite|"&amp;C15,Scoring!$A$5:$E$89,4,FALSE),"?")</f>
        <v/>
      </c>
      <c r="E15" s="13">
        <f>IFERROR(VLOOKUP("RiskAppetite|"&amp;C15,Scoring!$A$5:$E$89,5,FALSE),"")</f>
        <v/>
      </c>
      <c r="F15" s="10" t="inlineStr">
        <is>
          <t>Component 6</t>
        </is>
      </c>
    </row>
    <row r="16">
      <c r="A16" s="10" t="inlineStr">
        <is>
          <t>Q15</t>
        </is>
      </c>
      <c r="B16" s="11" t="inlineStr">
        <is>
          <t>What is your main source of income?</t>
        </is>
      </c>
      <c r="C16" s="12" t="inlineStr">
        <is>
          <t>Salary</t>
        </is>
      </c>
      <c r="D16" s="11">
        <f>IFERROR(VLOOKUP("IncomeSource|"&amp;C16,Scoring!$A$5:$E$89,4,FALSE),"?")</f>
        <v/>
      </c>
      <c r="E16" s="13">
        <f>IFERROR(VLOOKUP("IncomeSource|"&amp;C16,Scoring!$A$5:$E$89,5,FALSE),"")</f>
        <v/>
      </c>
      <c r="F16" s="10" t="inlineStr">
        <is>
          <t>Component 7</t>
        </is>
      </c>
    </row>
    <row r="17">
      <c r="A17" s="10" t="inlineStr">
        <is>
          <t>Q10</t>
        </is>
      </c>
      <c r="B17" s="11" t="inlineStr">
        <is>
          <t>What is your net annual income?</t>
        </is>
      </c>
      <c r="C17" s="12" t="inlineStr">
        <is>
          <t>$50K - $200K</t>
        </is>
      </c>
      <c r="D17" s="10" t="inlineStr">
        <is>
          <t>not scored</t>
        </is>
      </c>
      <c r="E17" s="13">
        <f>IFERROR(VLOOKUP("AnnualIncome|"&amp;C17,Scoring!$A$5:$E$89,5,FALSE),"")</f>
        <v/>
      </c>
      <c r="F17" s="10" t="inlineStr">
        <is>
          <t>Hard block only</t>
        </is>
      </c>
    </row>
    <row r="18">
      <c r="A18" s="10" t="inlineStr">
        <is>
          <t>Q11</t>
        </is>
      </c>
      <c r="B18" s="11" t="inlineStr">
        <is>
          <t>What are your total cash and liquid assets?</t>
        </is>
      </c>
      <c r="C18" s="12" t="inlineStr">
        <is>
          <t>$50K - $200K</t>
        </is>
      </c>
      <c r="D18" s="10" t="inlineStr">
        <is>
          <t>not scored</t>
        </is>
      </c>
      <c r="E18" s="13">
        <f>IFERROR(VLOOKUP("LiquidAssets|"&amp;C18,Scoring!$A$5:$E$89,5,FALSE),"")</f>
        <v/>
      </c>
      <c r="F18" s="10" t="inlineStr">
        <is>
          <t>Hard block only</t>
        </is>
      </c>
    </row>
    <row r="20">
      <c r="B20" s="14" t="inlineStr">
        <is>
          <t>ASICGAML-15 scores 4 of the 8 answers the funnel offers for Q8. The 4 it omits - Converting crypto to fiat; Trading; Investments; Crypto trading and/or conversion - are still selectable in the funnel here, and each one silently takes the default risk level, Medium. Pick one and the risk-level cell says so.</t>
        </is>
      </c>
    </row>
    <row r="21"/>
    <row r="23">
      <c r="A23" s="4" t="inlineStr">
        <is>
          <t>STEP 2 - Q23 complex-products knowledge assessment</t>
        </is>
      </c>
    </row>
    <row r="24">
      <c r="B24" s="14" t="inlineStr">
        <is>
          <t>Six true/false statements shown as one multi-select. Mark Yes for each statement you would tick. Two are factually true and carry +2 - the analyzer enum annotates exactly those two as the correct answers - and four are false and carry -2.</t>
        </is>
      </c>
    </row>
    <row r="26">
      <c r="B26" s="14" t="inlineStr">
        <is>
          <t>Every statement is judged, whether or not it is ticked. WeightQuestionAnswerCalculator.GetScoreByAnswerIds walks the whole group and does score += weight for a ticked answer, score -= weight for an unticked one, so ticking a true statement or leaving a false one alone both earn +2 and the opposite costs -2. The total runs -12 to +12 and no statement can contribute 0.    The one exception: tick nothing and the group is skipped entirely, so component 8 falls back to the default risk level, Medium. Q23 is IsRequiredForCopy=false, so a user can leave it alone and still copy.</t>
        </is>
      </c>
    </row>
    <row r="27"/>
    <row r="28"/>
    <row r="29" ht="22" customHeight="1">
      <c r="A29" s="9" t="inlineStr">
        <is>
          <t>ID</t>
        </is>
      </c>
      <c r="B29" s="9" t="inlineStr">
        <is>
          <t>Statement</t>
        </is>
      </c>
      <c r="C29" s="9" t="inlineStr">
        <is>
          <t>Selected?</t>
        </is>
      </c>
      <c r="D29" s="9" t="inlineStr">
        <is>
          <t>Weight</t>
        </is>
      </c>
      <c r="E29" s="9" t="inlineStr">
        <is>
          <t>Contribution</t>
        </is>
      </c>
      <c r="F29" s="9" t="inlineStr">
        <is>
          <t>Answer (config name)</t>
        </is>
      </c>
    </row>
    <row r="30" ht="39" customHeight="1">
      <c r="A30" s="15" t="n">
        <v>142</v>
      </c>
      <c r="B30" s="16" t="inlineStr">
        <is>
          <t>I deposit and invest $1,000 to open a position with $20,000 (using leverage of 20x). If the market moves 5% against my position, I'll lose my investment</t>
        </is>
      </c>
      <c r="C30" s="12" t="inlineStr">
        <is>
          <t>Yes</t>
        </is>
      </c>
      <c r="D30" s="15" t="inlineStr">
        <is>
          <t>+2</t>
        </is>
      </c>
      <c r="E30" s="13">
        <f>IF(C30="Yes",2,-2)</f>
        <v/>
      </c>
      <c r="F30" s="17" t="inlineStr">
        <is>
          <t>NewerLeverage</t>
        </is>
      </c>
    </row>
    <row r="31" ht="52" customHeight="1">
      <c r="A31" s="15" t="n">
        <v>144</v>
      </c>
      <c r="B31" s="16" t="inlineStr">
        <is>
          <t>If the total equity (i.e. the combined value of positions and available cash) in my account falls below the required margin, a "margin call" will liquidate my positions</t>
        </is>
      </c>
      <c r="C31" s="12" t="inlineStr">
        <is>
          <t>No</t>
        </is>
      </c>
      <c r="D31" s="15" t="inlineStr">
        <is>
          <t>+2</t>
        </is>
      </c>
      <c r="E31" s="13">
        <f>IF(C31="Yes",2,-2)</f>
        <v/>
      </c>
      <c r="F31" s="17" t="inlineStr">
        <is>
          <t>NewerMarginCall</t>
        </is>
      </c>
    </row>
    <row r="32" ht="39" customHeight="1">
      <c r="A32" s="15" t="n">
        <v>143</v>
      </c>
      <c r="B32" s="16" t="inlineStr">
        <is>
          <t>If the price of Google's stock rises on NASDAQ, the price of my Google contract for difference (CFD) will go down</t>
        </is>
      </c>
      <c r="C32" s="12" t="inlineStr">
        <is>
          <t>Yes</t>
        </is>
      </c>
      <c r="D32" s="15" t="inlineStr">
        <is>
          <t>-2</t>
        </is>
      </c>
      <c r="E32" s="13">
        <f>IF(C32="Yes",-2,2)</f>
        <v/>
      </c>
      <c r="F32" s="17" t="inlineStr">
        <is>
          <t>NewerCfd</t>
        </is>
      </c>
    </row>
    <row r="33" ht="26" customHeight="1">
      <c r="A33" s="15" t="n">
        <v>145</v>
      </c>
      <c r="B33" s="16" t="inlineStr">
        <is>
          <t>My open positions will remain open even when a stop loss is triggered</t>
        </is>
      </c>
      <c r="C33" s="12" t="inlineStr">
        <is>
          <t>No</t>
        </is>
      </c>
      <c r="D33" s="15" t="inlineStr">
        <is>
          <t>-2</t>
        </is>
      </c>
      <c r="E33" s="13">
        <f>IF(C33="Yes",-2,2)</f>
        <v/>
      </c>
      <c r="F33" s="17" t="inlineStr">
        <is>
          <t>NewerStopLossTrigger</t>
        </is>
      </c>
    </row>
    <row r="34" ht="26" customHeight="1">
      <c r="A34" s="15" t="n">
        <v>146</v>
      </c>
      <c r="B34" s="16" t="inlineStr">
        <is>
          <t>If the market gaps through my stop loss, my position will close at the exact stop loss level</t>
        </is>
      </c>
      <c r="C34" s="12" t="inlineStr">
        <is>
          <t>No</t>
        </is>
      </c>
      <c r="D34" s="15" t="inlineStr">
        <is>
          <t>-2</t>
        </is>
      </c>
      <c r="E34" s="13">
        <f>IF(C34="Yes",-2,2)</f>
        <v/>
      </c>
      <c r="F34" s="17" t="inlineStr">
        <is>
          <t>NewerStopLossGapThrough</t>
        </is>
      </c>
    </row>
    <row r="35" ht="39" customHeight="1">
      <c r="A35" s="15" t="n">
        <v>212</v>
      </c>
      <c r="B35" s="16" t="inlineStr">
        <is>
          <t>I will be able to sell my OTC complex products (CFD, TRS) outside of eToro platform    [RETIRED - no longer asked]</t>
        </is>
      </c>
      <c r="C35" s="18" t="inlineStr">
        <is>
          <t>No</t>
        </is>
      </c>
      <c r="D35" s="15" t="inlineStr">
        <is>
          <t>-2</t>
        </is>
      </c>
      <c r="E35" s="13">
        <f>IF(C35="Yes",-2,2)</f>
        <v/>
      </c>
      <c r="F35" s="17" t="inlineStr">
        <is>
          <t>NewerCfdTrs</t>
        </is>
      </c>
    </row>
    <row r="36">
      <c r="A36" s="19" t="n"/>
      <c r="B36" s="20" t="inlineStr">
        <is>
          <t>Total assessment score</t>
        </is>
      </c>
      <c r="C36" s="19" t="n"/>
      <c r="D36" s="19" t="n"/>
      <c r="E36" s="21">
        <f>SUM(E30:E35)</f>
        <v/>
      </c>
      <c r="F36" s="10">
        <f>IF(COUNTIF($C$30:$C$35,"Yes")=0,"nothing ticked - score not applied, component 8 falls back to Medium","reachable in production: -8 to +12")</f>
        <v/>
      </c>
    </row>
    <row r="37">
      <c r="B37" s="14" t="inlineStr">
        <is>
          <t>The last statement is scored by every live configuration but is no longer in the question catalogue, so no real user can tick it. It therefore contributes a constant +2 to everyone, which is why the reachable range is -8 to +12 rather than -12 to +12 and why High needs 4 of the 5 answerable statements rather than 5 of 6. It changes no band outcome - every threshold is 4 apart and the offset is 2. Leave it on No to model production; it stays editable only so the analyzer's own test vectors reproduce here.</t>
        </is>
      </c>
    </row>
    <row r="38"/>
    <row r="39">
      <c r="B39" s="5">
        <f>IF(--(C35="Yes")&gt;0,"Warning: a retired statement is ticked. No production user can do that - the score below is reachable only in the analyzer unit tests.","")</f>
        <v/>
      </c>
    </row>
    <row r="41">
      <c r="A41" s="4" t="inlineStr">
        <is>
          <t>STEP 3 - components</t>
        </is>
      </c>
    </row>
    <row r="42" ht="22" customHeight="1">
      <c r="A42" s="9" t="inlineStr"/>
      <c r="B42" s="9" t="inlineStr">
        <is>
          <t>Component</t>
        </is>
      </c>
      <c r="C42" s="9" t="inlineStr">
        <is>
          <t>Rule</t>
        </is>
      </c>
      <c r="D42" s="9" t="inlineStr">
        <is>
          <t>Risk level</t>
        </is>
      </c>
      <c r="E42" s="9" t="inlineStr">
        <is>
          <t>Weight</t>
        </is>
      </c>
      <c r="F42" s="9" t="inlineStr">
        <is>
          <t>Factor</t>
        </is>
      </c>
    </row>
    <row r="43">
      <c r="A43" s="19" t="n"/>
      <c r="B43" s="11" t="inlineStr">
        <is>
          <t>Component 1 - experience frequency</t>
        </is>
      </c>
      <c r="C43" s="10" t="inlineStr">
        <is>
          <t>MAX(stocks, crypto, CFD)</t>
        </is>
      </c>
      <c r="D43" s="11">
        <f>IFERROR(VLOOKUP(E43,Scoring!$A$94:$C$98,2,FALSE),"")</f>
        <v/>
      </c>
      <c r="E43" s="21">
        <f>MAX(E6,E7,E8)</f>
        <v/>
      </c>
      <c r="F43" s="10" t="inlineStr">
        <is>
          <t>Factor B</t>
        </is>
      </c>
    </row>
    <row r="44">
      <c r="A44" s="19" t="n"/>
      <c r="B44" s="11" t="inlineStr">
        <is>
          <t>Component 2 - experience volume</t>
        </is>
      </c>
      <c r="C44" s="10" t="inlineStr">
        <is>
          <t>MAX(stocks, crypto, CFD)</t>
        </is>
      </c>
      <c r="D44" s="11">
        <f>IFERROR(VLOOKUP(E44,Scoring!$A$94:$C$98,2,FALSE),"")</f>
        <v/>
      </c>
      <c r="E44" s="21">
        <f>MAX(E9,E10,E11)</f>
        <v/>
      </c>
      <c r="F44" s="10" t="inlineStr">
        <is>
          <t>Factor B</t>
        </is>
      </c>
    </row>
    <row r="45">
      <c r="A45" s="19" t="n"/>
      <c r="B45" s="11" t="inlineStr">
        <is>
          <t>Component 3 - trading knowledge</t>
        </is>
      </c>
      <c r="C45" s="10" t="inlineStr">
        <is>
          <t>single question</t>
        </is>
      </c>
      <c r="D45" s="11">
        <f>IFERROR(VLOOKUP(E45,Scoring!$A$94:$C$98,2,FALSE),"")</f>
        <v/>
      </c>
      <c r="E45" s="21">
        <f>E12</f>
        <v/>
      </c>
      <c r="F45" s="10" t="inlineStr">
        <is>
          <t>Factor B</t>
        </is>
      </c>
    </row>
    <row r="46">
      <c r="A46" s="19" t="n"/>
      <c r="B46" s="11" t="inlineStr">
        <is>
          <t>Component 4 - trading strategy</t>
        </is>
      </c>
      <c r="C46" s="10" t="inlineStr">
        <is>
          <t>single question</t>
        </is>
      </c>
      <c r="D46" s="11">
        <f>IFERROR(VLOOKUP(E46,Scoring!$A$94:$C$98,2,FALSE),"")</f>
        <v/>
      </c>
      <c r="E46" s="21">
        <f>E13</f>
        <v/>
      </c>
      <c r="F46" s="10" t="inlineStr">
        <is>
          <t>Factor B</t>
        </is>
      </c>
    </row>
    <row r="47">
      <c r="A47" s="19" t="n"/>
      <c r="B47" s="11" t="inlineStr">
        <is>
          <t>Component 5 - purpose of trading</t>
        </is>
      </c>
      <c r="C47" s="10" t="inlineStr">
        <is>
          <t>single question</t>
        </is>
      </c>
      <c r="D47" s="11">
        <f>IFERROR(VLOOKUP(E47,Scoring!$A$94:$C$98,2,FALSE),"")</f>
        <v/>
      </c>
      <c r="E47" s="21">
        <f>E14</f>
        <v/>
      </c>
      <c r="F47" s="10" t="inlineStr">
        <is>
          <t>Factor A</t>
        </is>
      </c>
    </row>
    <row r="48">
      <c r="A48" s="19" t="n"/>
      <c r="B48" s="11" t="inlineStr">
        <is>
          <t>Component 6 - risk appetite</t>
        </is>
      </c>
      <c r="C48" s="10" t="inlineStr">
        <is>
          <t>single question</t>
        </is>
      </c>
      <c r="D48" s="11">
        <f>IFERROR(VLOOKUP(E48,Scoring!$A$94:$C$98,2,FALSE),"")</f>
        <v/>
      </c>
      <c r="E48" s="21">
        <f>E15</f>
        <v/>
      </c>
      <c r="F48" s="10" t="inlineStr">
        <is>
          <t>Factor A</t>
        </is>
      </c>
    </row>
    <row r="49">
      <c r="A49" s="19" t="n"/>
      <c r="B49" s="11" t="inlineStr">
        <is>
          <t>Component 7 - source of income</t>
        </is>
      </c>
      <c r="C49" s="10" t="inlineStr">
        <is>
          <t>single question</t>
        </is>
      </c>
      <c r="D49" s="11">
        <f>IFERROR(VLOOKUP(E49,Scoring!$A$94:$C$98,2,FALSE),"")</f>
        <v/>
      </c>
      <c r="E49" s="21">
        <f>E16</f>
        <v/>
      </c>
      <c r="F49" s="10" t="inlineStr">
        <is>
          <t>Factor B</t>
        </is>
      </c>
    </row>
    <row r="50">
      <c r="A50" s="19" t="n"/>
      <c r="B50" s="11" t="inlineStr">
        <is>
          <t>Component 8 - knowledge assessment</t>
        </is>
      </c>
      <c r="C50" s="10" t="inlineStr">
        <is>
          <t>score -&gt; band, Medium if nothing ticked</t>
        </is>
      </c>
      <c r="D50" s="11">
        <f>IFERROR(VLOOKUP(E50,Scoring!$A$94:$C$98,2,FALSE),"")</f>
        <v/>
      </c>
      <c r="E50" s="21">
        <f>IF(COUNTIF($C$30:$C$35,"Yes")=0,2,LOOKUP(E36,Scoring!$A$113:$A$116,Scoring!$B$113:$B$116))</f>
        <v/>
      </c>
      <c r="F50" s="10" t="inlineStr">
        <is>
          <t>Factor B</t>
        </is>
      </c>
    </row>
    <row r="51">
      <c r="A51" s="19" t="n"/>
      <c r="B51" s="10" t="inlineStr">
        <is>
          <t>Component 9 - MiCA crypto assessment    not part of this regulation</t>
        </is>
      </c>
      <c r="C51" s="19" t="n"/>
      <c r="D51" s="19" t="n"/>
      <c r="E51" s="19" t="n"/>
      <c r="F51" s="10" t="inlineStr">
        <is>
          <t>CySEC only</t>
        </is>
      </c>
    </row>
    <row r="53">
      <c r="A53" s="4" t="inlineStr">
        <is>
          <t>STEP 4 - SuitabilityBlock - the hard block</t>
        </is>
      </c>
    </row>
    <row r="54">
      <c r="B54" s="14" t="inlineStr">
        <is>
          <t>ASICGAML-15 defines one check with Condition: All, so every row below has to be true before the user is blocked from copy entirely. A question the user has not answered makes its row false, which is why an incomplete profile is never blocked.</t>
        </is>
      </c>
    </row>
    <row r="55"/>
    <row r="56" ht="22" customHeight="1">
      <c r="A56" s="9" t="inlineStr"/>
      <c r="B56" s="9" t="inlineStr">
        <is>
          <t>Condition</t>
        </is>
      </c>
      <c r="C56" s="9" t="inlineStr">
        <is>
          <t>Blocking answers in this config</t>
        </is>
      </c>
      <c r="D56" s="9" t="inlineStr">
        <is>
          <t>Your answer</t>
        </is>
      </c>
      <c r="E56" s="9" t="inlineStr">
        <is>
          <t>Met?</t>
        </is>
      </c>
      <c r="F56" s="9" t="inlineStr"/>
    </row>
    <row r="57">
      <c r="A57" s="19" t="n"/>
      <c r="B57" s="11" t="inlineStr">
        <is>
          <t>Q9 gain/loss comfort is</t>
        </is>
      </c>
      <c r="C57" s="22" t="inlineStr">
        <is>
          <t>5% / -3%, 10% / -6%</t>
        </is>
      </c>
      <c r="D57" s="11">
        <f>C15</f>
        <v/>
      </c>
      <c r="E57" s="13">
        <f>IF(OR(C15="5% / -3%",C15="10% / -6%"),"YES","no")</f>
        <v/>
      </c>
      <c r="F57" s="19" t="n"/>
    </row>
    <row r="58">
      <c r="A58" s="19" t="n"/>
      <c r="B58" s="11" t="inlineStr">
        <is>
          <t>Q8 purpose of trading is</t>
        </is>
      </c>
      <c r="C58" s="22" t="inlineStr">
        <is>
          <t>Future planning</t>
        </is>
      </c>
      <c r="D58" s="11">
        <f>C14</f>
        <v/>
      </c>
      <c r="E58" s="13">
        <f>IF(OR(C14="Future planning"),"YES","no")</f>
        <v/>
      </c>
      <c r="F58" s="19" t="n"/>
    </row>
    <row r="59">
      <c r="A59" s="19" t="n"/>
      <c r="B59" s="11" t="inlineStr">
        <is>
          <t>Q10 net annual income is</t>
        </is>
      </c>
      <c r="C59" s="22" t="inlineStr">
        <is>
          <t>Up to $10K, $10K - $50K, $50K - $200K</t>
        </is>
      </c>
      <c r="D59" s="11">
        <f>C17</f>
        <v/>
      </c>
      <c r="E59" s="13">
        <f>IF(OR(C17="Up to $10K",C17="$10K - $50K",C17="$50K - $200K"),"YES","no")</f>
        <v/>
      </c>
      <c r="F59" s="19" t="n"/>
    </row>
    <row r="60">
      <c r="A60" s="19" t="n"/>
      <c r="B60" s="11" t="inlineStr">
        <is>
          <t>Q11 cash and liquid assets are</t>
        </is>
      </c>
      <c r="C60" s="22" t="inlineStr">
        <is>
          <t>Up to $10K, $10K - $50K, $50K - $200K</t>
        </is>
      </c>
      <c r="D60" s="11">
        <f>C18</f>
        <v/>
      </c>
      <c r="E60" s="13">
        <f>IF(OR(C18="Up to $10K",C18="$10K - $50K",C18="$50K - $200K"),"YES","no")</f>
        <v/>
      </c>
      <c r="F60" s="19" t="n"/>
    </row>
    <row r="61">
      <c r="A61" s="19" t="n"/>
      <c r="B61" s="11" t="inlineStr">
        <is>
          <t>Q15 source of income is</t>
        </is>
      </c>
      <c r="C61" s="22" t="inlineStr">
        <is>
          <t>Pension</t>
        </is>
      </c>
      <c r="D61" s="11">
        <f>C16</f>
        <v/>
      </c>
      <c r="E61" s="13">
        <f>IF(OR(C16="Pension"),"YES","no")</f>
        <v/>
      </c>
      <c r="F61" s="19" t="n"/>
    </row>
    <row r="62">
      <c r="A62" s="19" t="n"/>
      <c r="B62" s="10" t="inlineStr">
        <is>
          <t>Check DefaultResult in the config</t>
        </is>
      </c>
      <c r="C62" s="17" t="inlineStr">
        <is>
          <t>NotBlocked</t>
        </is>
      </c>
      <c r="D62" s="10" t="inlineStr">
        <is>
          <t>not reached on this code path</t>
        </is>
      </c>
      <c r="E62" s="19" t="n"/>
      <c r="F62" s="19" t="n"/>
    </row>
    <row r="64">
      <c r="A64" s="4" t="inlineStr">
        <is>
          <t>STEP 5 - result</t>
        </is>
      </c>
    </row>
    <row r="65" ht="22" customHeight="1">
      <c r="A65" s="9" t="inlineStr"/>
      <c r="B65" s="9" t="inlineStr">
        <is>
          <t>Output</t>
        </is>
      </c>
      <c r="C65" s="9" t="inlineStr">
        <is>
          <t>Formula</t>
        </is>
      </c>
      <c r="D65" s="9" t="inlineStr">
        <is>
          <t>Risk level</t>
        </is>
      </c>
      <c r="E65" s="9" t="inlineStr">
        <is>
          <t>Value</t>
        </is>
      </c>
      <c r="F65" s="9" t="inlineStr"/>
    </row>
    <row r="66">
      <c r="A66" s="19" t="n"/>
      <c r="B66" s="11" t="inlineStr">
        <is>
          <t>Factor A</t>
        </is>
      </c>
      <c r="C66" s="17" t="inlineStr">
        <is>
          <t>MIN(C5, C6)</t>
        </is>
      </c>
      <c r="D66" s="23">
        <f>IFERROR(VLOOKUP(E66,Scoring!$A$94:$C$98,2,FALSE),"")</f>
        <v/>
      </c>
      <c r="E66" s="24">
        <f>MIN(E47,E48)</f>
        <v/>
      </c>
      <c r="F66" s="19" t="n"/>
    </row>
    <row r="67">
      <c r="A67" s="19" t="n"/>
      <c r="B67" s="11" t="inlineStr">
        <is>
          <t>Factor B</t>
        </is>
      </c>
      <c r="C67" s="17" t="inlineStr">
        <is>
          <t>ROUNDDOWN(AVERAGE(C1,C2,C3,C4,C7,C8),0)</t>
        </is>
      </c>
      <c r="D67" s="23">
        <f>IFERROR(VLOOKUP(E67,Scoring!$A$94:$C$98,2,FALSE),"")</f>
        <v/>
      </c>
      <c r="E67" s="24">
        <f>ROUNDDOWN(AVERAGE(E43,E44,E45,E46,E49,E50),0)</f>
        <v/>
      </c>
      <c r="F67" s="19" t="n"/>
    </row>
    <row r="68">
      <c r="A68" s="19" t="n"/>
      <c r="B68" s="20" t="inlineStr">
        <is>
          <t>ClientRiskLevel</t>
        </is>
      </c>
      <c r="C68" s="17" t="inlineStr">
        <is>
          <t>MIN(Factor A, Factor B)</t>
        </is>
      </c>
      <c r="D68" s="25">
        <f>IFERROR(VLOOKUP(E68,Scoring!$A$94:$C$98,2,FALSE),"")</f>
        <v/>
      </c>
      <c r="E68" s="24">
        <f>MIN(E66,E67)</f>
        <v/>
      </c>
      <c r="F68" s="19" t="n"/>
    </row>
    <row r="69">
      <c r="A69" s="19" t="n"/>
      <c r="B69" s="20" t="inlineStr">
        <is>
          <t>AuthorizedRiskScore</t>
        </is>
      </c>
      <c r="C69" s="17" t="inlineStr">
        <is>
          <t>RiskLevelToScoreMappings</t>
        </is>
      </c>
      <c r="D69" s="15" t="inlineStr">
        <is>
          <t>max copyable risk score</t>
        </is>
      </c>
      <c r="E69" s="26">
        <f>IFERROR(VLOOKUP(E68,Scoring!$A$94:$C$98,3,FALSE),"")</f>
        <v/>
      </c>
      <c r="F69" s="19" t="n"/>
    </row>
    <row r="70">
      <c r="A70" s="19" t="n"/>
      <c r="B70" s="20" t="inlineStr">
        <is>
          <t>SuitabilityBlock (hard block)</t>
        </is>
      </c>
      <c r="C70" s="17" t="inlineStr">
        <is>
          <t>ALL 5 conditions above must be met</t>
        </is>
      </c>
      <c r="D70" s="27" t="n"/>
      <c r="E70" s="24">
        <f>IF(AND(E57="YES",E58="YES",E59="YES",E60="YES",E61="YES"),"BLOCKED","Not blocked")</f>
        <v/>
      </c>
      <c r="F70" s="19" t="n"/>
    </row>
    <row r="72" ht="26" customHeight="1">
      <c r="B72" s="28" t="inlineStr">
        <is>
          <t>OUTCOME</t>
        </is>
      </c>
      <c r="C72" s="29">
        <f>IF(E70="BLOCKED","Fully blocked from copy trading","Risk profile "&amp;D68&amp;" - may copy any trader or portfolio with a risk score of "&amp;E69&amp;" or below")</f>
        <v/>
      </c>
      <c r="D72" s="30" t="n"/>
      <c r="E72" s="30" t="n"/>
      <c r="F72" s="30" t="n"/>
    </row>
    <row r="73" ht="14" customHeight="1">
      <c r="C73" s="31">
        <f>IF(C14="Crypto trading and/or conversion","Note: no live config scores that answer to Q8, so component 5 takes the default, Medium. The funnel offers it under every regulation.",IF(OR(C14="Converting crypto to fiat",C14="Trading",C14="Investments"),"Note: the funnel offers that answer here, but only CySEC scores it. Component 5 takes the default, Medium, instead of the level CySEC would assign.",""))</f>
        <v/>
      </c>
    </row>
    <row r="74"/>
    <row r="76">
      <c r="A76" s="4" t="inlineStr">
        <is>
          <t>STEP 6 - check a specific target</t>
        </is>
      </c>
    </row>
    <row r="77">
      <c r="A77" s="19" t="n"/>
      <c r="B77" s="11" t="inlineStr">
        <is>
          <t>Target's risk score (1-10)</t>
        </is>
      </c>
      <c r="C77" s="32" t="n">
        <v>7</v>
      </c>
    </row>
    <row r="78" ht="24" customHeight="1">
      <c r="B78" s="33" t="inlineStr">
        <is>
          <t>Can this user copy it?</t>
        </is>
      </c>
      <c r="C78" s="29">
        <f>IF(E70="BLOCKED","NO - fully blocked from copy",IF(C77&lt;=E69,"YES - allowed","NO - target risk "&amp;C77&amp;" exceeds the limit of "&amp;E69))</f>
        <v/>
      </c>
      <c r="D78" s="30" t="n"/>
      <c r="E78" s="30" t="n"/>
      <c r="F78" s="30" t="n"/>
    </row>
    <row r="80">
      <c r="B80" s="14" t="inlineStr">
        <is>
          <t>This sheet models gates 1 and 2. Gate 3, ongoing monitoring, is a separate daily solvency check - see the Monitoring sheet. A user can pass here and still be blocked from opening new copies.</t>
        </is>
      </c>
    </row>
  </sheetData>
  <mergeCells count="11">
    <mergeCell ref="B26:F28"/>
    <mergeCell ref="A2:F2"/>
    <mergeCell ref="B39:F39"/>
    <mergeCell ref="C78:F78"/>
    <mergeCell ref="B24:F24"/>
    <mergeCell ref="C73:F74"/>
    <mergeCell ref="B20:F21"/>
    <mergeCell ref="B80:F80"/>
    <mergeCell ref="B37:F38"/>
    <mergeCell ref="C72:F72"/>
    <mergeCell ref="B54:F55"/>
  </mergeCells>
  <dataValidations count="20">
    <dataValidation sqref="C6" showDropDown="0" showInputMessage="0" showErrorMessage="0" allowBlank="0" type="list">
      <formula1>Lists!$A$3:$A$6</formula1>
    </dataValidation>
    <dataValidation sqref="C7" showDropDown="0" showInputMessage="0" showErrorMessage="0" allowBlank="0" type="list">
      <formula1>Lists!$B$3:$B$6</formula1>
    </dataValidation>
    <dataValidation sqref="C8" showDropDown="0" showInputMessage="0" showErrorMessage="0" allowBlank="0" type="list">
      <formula1>Lists!$C$3:$C$8</formula1>
    </dataValidation>
    <dataValidation sqref="C9" showDropDown="0" showInputMessage="0" showErrorMessage="0" allowBlank="0" type="list">
      <formula1>Lists!$D$3:$D$6</formula1>
    </dataValidation>
    <dataValidation sqref="C10" showDropDown="0" showInputMessage="0" showErrorMessage="0" allowBlank="0" type="list">
      <formula1>Lists!$E$3:$E$6</formula1>
    </dataValidation>
    <dataValidation sqref="C11" showDropDown="0" showInputMessage="0" showErrorMessage="0" allowBlank="0" type="list">
      <formula1>Lists!$F$3:$F$6</formula1>
    </dataValidation>
    <dataValidation sqref="C12" showDropDown="0" showInputMessage="0" showErrorMessage="0" allowBlank="0" type="list">
      <formula1>Lists!$G$3:$G$6</formula1>
    </dataValidation>
    <dataValidation sqref="C13" showDropDown="0" showInputMessage="0" showErrorMessage="0" allowBlank="0" type="list">
      <formula1>Lists!$H$3:$H$5</formula1>
    </dataValidation>
    <dataValidation sqref="C14" showDropDown="0" showInputMessage="0" showErrorMessage="0" allowBlank="0" type="list">
      <formula1>Lists!$I$3:$I$10</formula1>
    </dataValidation>
    <dataValidation sqref="C15" showDropDown="0" showInputMessage="0" showErrorMessage="0" allowBlank="0" type="list">
      <formula1>Lists!$J$3:$J$7</formula1>
    </dataValidation>
    <dataValidation sqref="C16" showDropDown="0" showInputMessage="0" showErrorMessage="0" allowBlank="0" type="list">
      <formula1>Lists!$K$3:$K$14</formula1>
    </dataValidation>
    <dataValidation sqref="C17" showDropDown="0" showInputMessage="0" showErrorMessage="0" allowBlank="0" type="list">
      <formula1>Lists!$L$3:$L$8</formula1>
    </dataValidation>
    <dataValidation sqref="C18" showDropDown="0" showInputMessage="0" showErrorMessage="0" allowBlank="0" type="list">
      <formula1>Lists!$M$3:$M$8</formula1>
    </dataValidation>
    <dataValidation sqref="C30" showDropDown="0" showInputMessage="0" showErrorMessage="0" allowBlank="0" type="list">
      <formula1>Lists!$N$3:$N$4</formula1>
    </dataValidation>
    <dataValidation sqref="C31" showDropDown="0" showInputMessage="0" showErrorMessage="0" allowBlank="0" type="list">
      <formula1>Lists!$N$3:$N$4</formula1>
    </dataValidation>
    <dataValidation sqref="C32" showDropDown="0" showInputMessage="0" showErrorMessage="0" allowBlank="0" type="list">
      <formula1>Lists!$N$3:$N$4</formula1>
    </dataValidation>
    <dataValidation sqref="C33" showDropDown="0" showInputMessage="0" showErrorMessage="0" allowBlank="0" type="list">
      <formula1>Lists!$N$3:$N$4</formula1>
    </dataValidation>
    <dataValidation sqref="C34" showDropDown="0" showInputMessage="0" showErrorMessage="0" allowBlank="0" type="list">
      <formula1>Lists!$N$3:$N$4</formula1>
    </dataValidation>
    <dataValidation sqref="C35" showDropDown="0" showInputMessage="0" showErrorMessage="0" allowBlank="0" type="list">
      <formula1>Lists!$N$3:$N$4</formula1>
    </dataValidation>
    <dataValidation sqref="C77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0" customWidth="1" min="3" max="3"/>
    <col width="16" customWidth="1" min="4" max="4"/>
    <col width="10" customWidth="1" min="5" max="5"/>
    <col width="34" customWidth="1" min="6" max="6"/>
  </cols>
  <sheetData>
    <row r="1">
      <c r="A1" s="7" t="inlineStr">
        <is>
          <t>Suitability calculator - FSRA</t>
        </is>
      </c>
    </row>
    <row r="2">
      <c r="A2" s="8" t="inlineStr">
        <is>
          <t>Answer the yellow cells; everything else is calculated. This sheet models FSRA-10, the live configuration for FSRA. Each regulation gets its own sheet because the scored answers and the hard block differ.</t>
        </is>
      </c>
    </row>
    <row r="4">
      <c r="A4" s="4" t="inlineStr">
        <is>
          <t>STEP 1 - answer the questions</t>
        </is>
      </c>
    </row>
    <row r="5" ht="22" customHeight="1">
      <c r="A5" s="9" t="inlineStr">
        <is>
          <t>Q</t>
        </is>
      </c>
      <c r="B5" s="9" t="inlineStr">
        <is>
          <t>Question</t>
        </is>
      </c>
      <c r="C5" s="9" t="inlineStr">
        <is>
          <t>Your answer</t>
        </is>
      </c>
      <c r="D5" s="9" t="inlineStr">
        <is>
          <t>Risk level</t>
        </is>
      </c>
      <c r="E5" s="9" t="inlineStr">
        <is>
          <t>Weight</t>
        </is>
      </c>
      <c r="F5" s="9" t="inlineStr">
        <is>
          <t>Feeds</t>
        </is>
      </c>
    </row>
    <row r="6">
      <c r="A6" s="10" t="inlineStr">
        <is>
          <t>Q33</t>
        </is>
      </c>
      <c r="B6" s="11" t="inlineStr">
        <is>
          <t>How often have you traded stocks?</t>
        </is>
      </c>
      <c r="C6" s="12" t="inlineStr">
        <is>
          <t>0-10 times</t>
        </is>
      </c>
      <c r="D6" s="11">
        <f>IFERROR(VLOOKUP("Equities|"&amp;C6,Scoring!$A$5:$E$89,4,FALSE),"?")</f>
        <v/>
      </c>
      <c r="E6" s="13">
        <f>IFERROR(VLOOKUP("Equities|"&amp;C6,Scoring!$A$5:$E$89,5,FALSE),"")</f>
        <v/>
      </c>
      <c r="F6" s="10" t="inlineStr">
        <is>
          <t>Component 1</t>
        </is>
      </c>
    </row>
    <row r="7">
      <c r="A7" s="10" t="inlineStr">
        <is>
          <t>Q34</t>
        </is>
      </c>
      <c r="B7" s="11" t="inlineStr">
        <is>
          <t>How often have you traded crypto?</t>
        </is>
      </c>
      <c r="C7" s="12" t="inlineStr">
        <is>
          <t>Never traded</t>
        </is>
      </c>
      <c r="D7" s="11">
        <f>IFERROR(VLOOKUP("Crypto|"&amp;C7,Scoring!$A$5:$E$89,4,FALSE),"?")</f>
        <v/>
      </c>
      <c r="E7" s="13">
        <f>IFERROR(VLOOKUP("Crypto|"&amp;C7,Scoring!$A$5:$E$89,5,FALSE),"")</f>
        <v/>
      </c>
      <c r="F7" s="10" t="inlineStr">
        <is>
          <t>Component 1</t>
        </is>
      </c>
    </row>
    <row r="8">
      <c r="A8" s="10" t="inlineStr">
        <is>
          <t>Q35</t>
        </is>
      </c>
      <c r="B8" s="11" t="inlineStr">
        <is>
          <t>How often have you traded leveraged CFDs?</t>
        </is>
      </c>
      <c r="C8" s="12" t="inlineStr">
        <is>
          <t>Never traded</t>
        </is>
      </c>
      <c r="D8" s="11">
        <f>IFERROR(VLOOKUP("LeveragedCfd|"&amp;C8,Scoring!$A$5:$E$89,4,FALSE),"?")</f>
        <v/>
      </c>
      <c r="E8" s="13">
        <f>IFERROR(VLOOKUP("LeveragedCfd|"&amp;C8,Scoring!$A$5:$E$89,5,FALSE),"")</f>
        <v/>
      </c>
      <c r="F8" s="10" t="inlineStr">
        <is>
          <t>Component 1</t>
        </is>
      </c>
    </row>
    <row r="9">
      <c r="A9" s="10" t="inlineStr">
        <is>
          <t>Q47</t>
        </is>
      </c>
      <c r="B9" s="11" t="inlineStr">
        <is>
          <t>How much have you invested in stocks?</t>
        </is>
      </c>
      <c r="C9" s="12" t="inlineStr">
        <is>
          <t>$1 - $500</t>
        </is>
      </c>
      <c r="D9" s="11">
        <f>IFERROR(VLOOKUP("EquitiesInvestedAmount|"&amp;C9,Scoring!$A$5:$E$89,4,FALSE),"?")</f>
        <v/>
      </c>
      <c r="E9" s="13">
        <f>IFERROR(VLOOKUP("EquitiesInvestedAmount|"&amp;C9,Scoring!$A$5:$E$89,5,FALSE),"")</f>
        <v/>
      </c>
      <c r="F9" s="10" t="inlineStr">
        <is>
          <t>Component 2</t>
        </is>
      </c>
    </row>
    <row r="10">
      <c r="A10" s="10" t="inlineStr">
        <is>
          <t>Q48</t>
        </is>
      </c>
      <c r="B10" s="11" t="inlineStr">
        <is>
          <t>How much have you invested in crypto?</t>
        </is>
      </c>
      <c r="C10" s="12" t="inlineStr">
        <is>
          <t>Never</t>
        </is>
      </c>
      <c r="D10" s="11">
        <f>IFERROR(VLOOKUP("CryptoInvestedAmount|"&amp;C10,Scoring!$A$5:$E$89,4,FALSE),"?")</f>
        <v/>
      </c>
      <c r="E10" s="13">
        <f>IFERROR(VLOOKUP("CryptoInvestedAmount|"&amp;C10,Scoring!$A$5:$E$89,5,FALSE),"")</f>
        <v/>
      </c>
      <c r="F10" s="10" t="inlineStr">
        <is>
          <t>Component 2</t>
        </is>
      </c>
    </row>
    <row r="11">
      <c r="A11" s="10" t="inlineStr">
        <is>
          <t>Q45</t>
        </is>
      </c>
      <c r="B11" s="11" t="inlineStr">
        <is>
          <t>How much have you invested in leveraged CFDs?</t>
        </is>
      </c>
      <c r="C11" s="12" t="inlineStr">
        <is>
          <t>Never</t>
        </is>
      </c>
      <c r="D11" s="11">
        <f>IFERROR(VLOOKUP("LeveragedCfdInvestedAmount|"&amp;C11,Scoring!$A$5:$E$89,4,FALSE),"?")</f>
        <v/>
      </c>
      <c r="E11" s="13">
        <f>IFERROR(VLOOKUP("LeveragedCfdInvestedAmount|"&amp;C11,Scoring!$A$5:$E$89,5,FALSE),"")</f>
        <v/>
      </c>
      <c r="F11" s="10" t="inlineStr">
        <is>
          <t>Component 2</t>
        </is>
      </c>
    </row>
    <row r="12">
      <c r="A12" s="10" t="inlineStr">
        <is>
          <t>Q3</t>
        </is>
      </c>
      <c r="B12" s="11" t="inlineStr">
        <is>
          <t>What relevant financial knowledge do you have?</t>
        </is>
      </c>
      <c r="C12" s="12" t="inlineStr">
        <is>
          <t>No financial knowledge</t>
        </is>
      </c>
      <c r="D12" s="11">
        <f>IFERROR(VLOOKUP("TradingKnowledge|"&amp;C12,Scoring!$A$5:$E$89,4,FALSE),"?")</f>
        <v/>
      </c>
      <c r="E12" s="13">
        <f>IFERROR(VLOOKUP("TradingKnowledge|"&amp;C12,Scoring!$A$5:$E$89,5,FALSE),"")</f>
        <v/>
      </c>
      <c r="F12" s="10" t="inlineStr">
        <is>
          <t>Component 3</t>
        </is>
      </c>
    </row>
    <row r="13">
      <c r="A13" s="10" t="inlineStr">
        <is>
          <t>Q5</t>
        </is>
      </c>
      <c r="B13" s="11" t="inlineStr">
        <is>
          <t>How long do you typically hold a position?</t>
        </is>
      </c>
      <c r="C13" s="12" t="inlineStr">
        <is>
          <t>A few weeks up to several months</t>
        </is>
      </c>
      <c r="D13" s="11">
        <f>IFERROR(VLOOKUP("TradingStrategy|"&amp;C13,Scoring!$A$5:$E$89,4,FALSE),"?")</f>
        <v/>
      </c>
      <c r="E13" s="13">
        <f>IFERROR(VLOOKUP("TradingStrategy|"&amp;C13,Scoring!$A$5:$E$89,5,FALSE),"")</f>
        <v/>
      </c>
      <c r="F13" s="10" t="inlineStr">
        <is>
          <t>Component 4</t>
        </is>
      </c>
    </row>
    <row r="14">
      <c r="A14" s="10" t="inlineStr">
        <is>
          <t>Q8</t>
        </is>
      </c>
      <c r="B14" s="11" t="inlineStr">
        <is>
          <t>What is your primary purpose for trading?</t>
        </is>
      </c>
      <c r="C14" s="12" t="inlineStr">
        <is>
          <t>Additional revenues</t>
        </is>
      </c>
      <c r="D14" s="11">
        <f>IF(OR(C14="Converting crypto to fiat",C14="Trading",C14="Investments",C14="Crypto trading and/or conversion"),"Medium (unscored - default)",IFERROR(VLOOKUP("TradingPurpose|"&amp;C14,Scoring!$A$5:$E$89,4,FALSE),"?"))</f>
        <v/>
      </c>
      <c r="E14" s="13">
        <f>IF(OR(C14="Converting crypto to fiat",C14="Trading",C14="Investments",C14="Crypto trading and/or conversion"),2,IFERROR(VLOOKUP("TradingPurpose|"&amp;C14,Scoring!$A$5:$E$89,5,FALSE),""))</f>
        <v/>
      </c>
      <c r="F14" s="10" t="inlineStr">
        <is>
          <t>Component 5</t>
        </is>
      </c>
    </row>
    <row r="15">
      <c r="A15" s="10" t="inlineStr">
        <is>
          <t>Q9</t>
        </is>
      </c>
      <c r="B15" s="11" t="inlineStr">
        <is>
          <t>What gain and loss are you comfortable with?</t>
        </is>
      </c>
      <c r="C15" s="12" t="inlineStr">
        <is>
          <t>20% / -12%</t>
        </is>
      </c>
      <c r="D15" s="11">
        <f>IFERROR(VLOOKUP("RiskAppetite|"&amp;C15,Scoring!$A$5:$E$89,4,FALSE),"?")</f>
        <v/>
      </c>
      <c r="E15" s="13">
        <f>IFERROR(VLOOKUP("RiskAppetite|"&amp;C15,Scoring!$A$5:$E$89,5,FALSE),"")</f>
        <v/>
      </c>
      <c r="F15" s="10" t="inlineStr">
        <is>
          <t>Component 6</t>
        </is>
      </c>
    </row>
    <row r="16">
      <c r="A16" s="10" t="inlineStr">
        <is>
          <t>Q15</t>
        </is>
      </c>
      <c r="B16" s="11" t="inlineStr">
        <is>
          <t>What is your main source of income?</t>
        </is>
      </c>
      <c r="C16" s="12" t="inlineStr">
        <is>
          <t>Salary</t>
        </is>
      </c>
      <c r="D16" s="11">
        <f>IFERROR(VLOOKUP("IncomeSource|"&amp;C16,Scoring!$A$5:$E$89,4,FALSE),"?")</f>
        <v/>
      </c>
      <c r="E16" s="13">
        <f>IFERROR(VLOOKUP("IncomeSource|"&amp;C16,Scoring!$A$5:$E$89,5,FALSE),"")</f>
        <v/>
      </c>
      <c r="F16" s="10" t="inlineStr">
        <is>
          <t>Component 7</t>
        </is>
      </c>
    </row>
    <row r="17">
      <c r="A17" s="10" t="inlineStr">
        <is>
          <t>Q10</t>
        </is>
      </c>
      <c r="B17" s="11" t="inlineStr">
        <is>
          <t>What is your net annual income?</t>
        </is>
      </c>
      <c r="C17" s="12" t="inlineStr">
        <is>
          <t>$50K - $200K</t>
        </is>
      </c>
      <c r="D17" s="10" t="inlineStr">
        <is>
          <t>not scored</t>
        </is>
      </c>
      <c r="E17" s="13">
        <f>IFERROR(VLOOKUP("AnnualIncome|"&amp;C17,Scoring!$A$5:$E$89,5,FALSE),"")</f>
        <v/>
      </c>
      <c r="F17" s="10" t="inlineStr">
        <is>
          <t>Hard block only</t>
        </is>
      </c>
    </row>
    <row r="18">
      <c r="A18" s="10" t="inlineStr">
        <is>
          <t>Q11</t>
        </is>
      </c>
      <c r="B18" s="11" t="inlineStr">
        <is>
          <t>What are your total cash and liquid assets?</t>
        </is>
      </c>
      <c r="C18" s="12" t="inlineStr">
        <is>
          <t>$50K - $200K</t>
        </is>
      </c>
      <c r="D18" s="10" t="inlineStr">
        <is>
          <t>not scored</t>
        </is>
      </c>
      <c r="E18" s="13">
        <f>IFERROR(VLOOKUP("LiquidAssets|"&amp;C18,Scoring!$A$5:$E$89,5,FALSE),"")</f>
        <v/>
      </c>
      <c r="F18" s="10" t="inlineStr">
        <is>
          <t>Hard block only</t>
        </is>
      </c>
    </row>
    <row r="20">
      <c r="B20" s="14" t="inlineStr">
        <is>
          <t>FSRA-10 scores 4 of the 8 answers the funnel offers for Q8. The 4 it omits - Converting crypto to fiat; Trading; Investments; Crypto trading and/or conversion - are still selectable in the funnel here, and each one silently takes the default risk level, Medium. Pick one and the risk-level cell says so.</t>
        </is>
      </c>
    </row>
    <row r="21"/>
    <row r="23">
      <c r="A23" s="4" t="inlineStr">
        <is>
          <t>STEP 2 - Q23 complex-products knowledge assessment</t>
        </is>
      </c>
    </row>
    <row r="24">
      <c r="B24" s="14" t="inlineStr">
        <is>
          <t>Six true/false statements shown as one multi-select. Mark Yes for each statement you would tick. Two are factually true and carry +2 - the analyzer enum annotates exactly those two as the correct answers - and four are false and carry -2.</t>
        </is>
      </c>
    </row>
    <row r="26">
      <c r="B26" s="14" t="inlineStr">
        <is>
          <t>Every statement is judged, whether or not it is ticked. WeightQuestionAnswerCalculator.GetScoreByAnswerIds walks the whole group and does score += weight for a ticked answer, score -= weight for an unticked one, so ticking a true statement or leaving a false one alone both earn +2 and the opposite costs -2. The total runs -12 to +12 and no statement can contribute 0.    The one exception: tick nothing and the group is skipped entirely, so component 8 falls back to the default risk level, Medium. Q23 is IsRequiredForCopy=false, so a user can leave it alone and still copy.</t>
        </is>
      </c>
    </row>
    <row r="27"/>
    <row r="28"/>
    <row r="29" ht="22" customHeight="1">
      <c r="A29" s="9" t="inlineStr">
        <is>
          <t>ID</t>
        </is>
      </c>
      <c r="B29" s="9" t="inlineStr">
        <is>
          <t>Statement</t>
        </is>
      </c>
      <c r="C29" s="9" t="inlineStr">
        <is>
          <t>Selected?</t>
        </is>
      </c>
      <c r="D29" s="9" t="inlineStr">
        <is>
          <t>Weight</t>
        </is>
      </c>
      <c r="E29" s="9" t="inlineStr">
        <is>
          <t>Contribution</t>
        </is>
      </c>
      <c r="F29" s="9" t="inlineStr">
        <is>
          <t>Answer (config name)</t>
        </is>
      </c>
    </row>
    <row r="30" ht="39" customHeight="1">
      <c r="A30" s="15" t="n">
        <v>142</v>
      </c>
      <c r="B30" s="16" t="inlineStr">
        <is>
          <t>I deposit and invest $1,000 to open a position with $20,000 (using leverage of 20x). If the market moves 5% against my position, I'll lose my investment</t>
        </is>
      </c>
      <c r="C30" s="12" t="inlineStr">
        <is>
          <t>Yes</t>
        </is>
      </c>
      <c r="D30" s="15" t="inlineStr">
        <is>
          <t>+2</t>
        </is>
      </c>
      <c r="E30" s="13">
        <f>IF(C30="Yes",2,-2)</f>
        <v/>
      </c>
      <c r="F30" s="17" t="inlineStr">
        <is>
          <t>NewerLeverage</t>
        </is>
      </c>
    </row>
    <row r="31" ht="52" customHeight="1">
      <c r="A31" s="15" t="n">
        <v>144</v>
      </c>
      <c r="B31" s="16" t="inlineStr">
        <is>
          <t>If the total equity (i.e. the combined value of positions and available cash) in my account falls below the required margin, a "margin call" will liquidate my positions</t>
        </is>
      </c>
      <c r="C31" s="12" t="inlineStr">
        <is>
          <t>No</t>
        </is>
      </c>
      <c r="D31" s="15" t="inlineStr">
        <is>
          <t>+2</t>
        </is>
      </c>
      <c r="E31" s="13">
        <f>IF(C31="Yes",2,-2)</f>
        <v/>
      </c>
      <c r="F31" s="17" t="inlineStr">
        <is>
          <t>NewerMarginCall</t>
        </is>
      </c>
    </row>
    <row r="32" ht="39" customHeight="1">
      <c r="A32" s="15" t="n">
        <v>143</v>
      </c>
      <c r="B32" s="16" t="inlineStr">
        <is>
          <t>If the price of Google's stock rises on NASDAQ, the price of my Google contract for difference (CFD) will go down</t>
        </is>
      </c>
      <c r="C32" s="12" t="inlineStr">
        <is>
          <t>Yes</t>
        </is>
      </c>
      <c r="D32" s="15" t="inlineStr">
        <is>
          <t>-2</t>
        </is>
      </c>
      <c r="E32" s="13">
        <f>IF(C32="Yes",-2,2)</f>
        <v/>
      </c>
      <c r="F32" s="17" t="inlineStr">
        <is>
          <t>NewerCfd</t>
        </is>
      </c>
    </row>
    <row r="33" ht="26" customHeight="1">
      <c r="A33" s="15" t="n">
        <v>145</v>
      </c>
      <c r="B33" s="16" t="inlineStr">
        <is>
          <t>My open positions will remain open even when a stop loss is triggered</t>
        </is>
      </c>
      <c r="C33" s="12" t="inlineStr">
        <is>
          <t>No</t>
        </is>
      </c>
      <c r="D33" s="15" t="inlineStr">
        <is>
          <t>-2</t>
        </is>
      </c>
      <c r="E33" s="13">
        <f>IF(C33="Yes",-2,2)</f>
        <v/>
      </c>
      <c r="F33" s="17" t="inlineStr">
        <is>
          <t>NewerStopLossTrigger</t>
        </is>
      </c>
    </row>
    <row r="34" ht="26" customHeight="1">
      <c r="A34" s="15" t="n">
        <v>146</v>
      </c>
      <c r="B34" s="16" t="inlineStr">
        <is>
          <t>If the market gaps through my stop loss, my position will close at the exact stop loss level</t>
        </is>
      </c>
      <c r="C34" s="12" t="inlineStr">
        <is>
          <t>No</t>
        </is>
      </c>
      <c r="D34" s="15" t="inlineStr">
        <is>
          <t>-2</t>
        </is>
      </c>
      <c r="E34" s="13">
        <f>IF(C34="Yes",-2,2)</f>
        <v/>
      </c>
      <c r="F34" s="17" t="inlineStr">
        <is>
          <t>NewerStopLossGapThrough</t>
        </is>
      </c>
    </row>
    <row r="35" ht="39" customHeight="1">
      <c r="A35" s="15" t="n">
        <v>212</v>
      </c>
      <c r="B35" s="16" t="inlineStr">
        <is>
          <t>I will be able to sell my OTC complex products (CFD, TRS) outside of eToro platform    [RETIRED - no longer asked]</t>
        </is>
      </c>
      <c r="C35" s="18" t="inlineStr">
        <is>
          <t>No</t>
        </is>
      </c>
      <c r="D35" s="15" t="inlineStr">
        <is>
          <t>-2</t>
        </is>
      </c>
      <c r="E35" s="13">
        <f>IF(C35="Yes",-2,2)</f>
        <v/>
      </c>
      <c r="F35" s="17" t="inlineStr">
        <is>
          <t>NewerCfdTrs</t>
        </is>
      </c>
    </row>
    <row r="36">
      <c r="A36" s="19" t="n"/>
      <c r="B36" s="20" t="inlineStr">
        <is>
          <t>Total assessment score</t>
        </is>
      </c>
      <c r="C36" s="19" t="n"/>
      <c r="D36" s="19" t="n"/>
      <c r="E36" s="21">
        <f>SUM(E30:E35)</f>
        <v/>
      </c>
      <c r="F36" s="10">
        <f>IF(COUNTIF($C$30:$C$35,"Yes")=0,"nothing ticked - score not applied, component 8 falls back to Medium","reachable in production: -8 to +12")</f>
        <v/>
      </c>
    </row>
    <row r="37">
      <c r="B37" s="14" t="inlineStr">
        <is>
          <t>The last statement is scored by every live configuration but is no longer in the question catalogue, so no real user can tick it. It therefore contributes a constant +2 to everyone, which is why the reachable range is -8 to +12 rather than -12 to +12 and why High needs 4 of the 5 answerable statements rather than 5 of 6. It changes no band outcome - every threshold is 4 apart and the offset is 2. Leave it on No to model production; it stays editable only so the analyzer's own test vectors reproduce here.</t>
        </is>
      </c>
    </row>
    <row r="38"/>
    <row r="39">
      <c r="B39" s="5">
        <f>IF(--(C35="Yes")&gt;0,"Warning: a retired statement is ticked. No production user can do that - the score below is reachable only in the analyzer unit tests.","")</f>
        <v/>
      </c>
    </row>
    <row r="41">
      <c r="A41" s="4" t="inlineStr">
        <is>
          <t>STEP 3 - components</t>
        </is>
      </c>
    </row>
    <row r="42" ht="22" customHeight="1">
      <c r="A42" s="9" t="inlineStr"/>
      <c r="B42" s="9" t="inlineStr">
        <is>
          <t>Component</t>
        </is>
      </c>
      <c r="C42" s="9" t="inlineStr">
        <is>
          <t>Rule</t>
        </is>
      </c>
      <c r="D42" s="9" t="inlineStr">
        <is>
          <t>Risk level</t>
        </is>
      </c>
      <c r="E42" s="9" t="inlineStr">
        <is>
          <t>Weight</t>
        </is>
      </c>
      <c r="F42" s="9" t="inlineStr">
        <is>
          <t>Factor</t>
        </is>
      </c>
    </row>
    <row r="43">
      <c r="A43" s="19" t="n"/>
      <c r="B43" s="11" t="inlineStr">
        <is>
          <t>Component 1 - experience frequency</t>
        </is>
      </c>
      <c r="C43" s="10" t="inlineStr">
        <is>
          <t>MAX(stocks, crypto, CFD)</t>
        </is>
      </c>
      <c r="D43" s="11">
        <f>IFERROR(VLOOKUP(E43,Scoring!$A$94:$C$98,2,FALSE),"")</f>
        <v/>
      </c>
      <c r="E43" s="21">
        <f>MAX(E6,E7,E8)</f>
        <v/>
      </c>
      <c r="F43" s="10" t="inlineStr">
        <is>
          <t>Factor B</t>
        </is>
      </c>
    </row>
    <row r="44">
      <c r="A44" s="19" t="n"/>
      <c r="B44" s="11" t="inlineStr">
        <is>
          <t>Component 2 - experience volume</t>
        </is>
      </c>
      <c r="C44" s="10" t="inlineStr">
        <is>
          <t>MAX(stocks, crypto, CFD)</t>
        </is>
      </c>
      <c r="D44" s="11">
        <f>IFERROR(VLOOKUP(E44,Scoring!$A$94:$C$98,2,FALSE),"")</f>
        <v/>
      </c>
      <c r="E44" s="21">
        <f>MAX(E9,E10,E11)</f>
        <v/>
      </c>
      <c r="F44" s="10" t="inlineStr">
        <is>
          <t>Factor B</t>
        </is>
      </c>
    </row>
    <row r="45">
      <c r="A45" s="19" t="n"/>
      <c r="B45" s="11" t="inlineStr">
        <is>
          <t>Component 3 - trading knowledge</t>
        </is>
      </c>
      <c r="C45" s="10" t="inlineStr">
        <is>
          <t>single question</t>
        </is>
      </c>
      <c r="D45" s="11">
        <f>IFERROR(VLOOKUP(E45,Scoring!$A$94:$C$98,2,FALSE),"")</f>
        <v/>
      </c>
      <c r="E45" s="21">
        <f>E12</f>
        <v/>
      </c>
      <c r="F45" s="10" t="inlineStr">
        <is>
          <t>Factor B</t>
        </is>
      </c>
    </row>
    <row r="46">
      <c r="A46" s="19" t="n"/>
      <c r="B46" s="11" t="inlineStr">
        <is>
          <t>Component 4 - trading strategy</t>
        </is>
      </c>
      <c r="C46" s="10" t="inlineStr">
        <is>
          <t>single question</t>
        </is>
      </c>
      <c r="D46" s="11">
        <f>IFERROR(VLOOKUP(E46,Scoring!$A$94:$C$98,2,FALSE),"")</f>
        <v/>
      </c>
      <c r="E46" s="21">
        <f>E13</f>
        <v/>
      </c>
      <c r="F46" s="10" t="inlineStr">
        <is>
          <t>Factor B</t>
        </is>
      </c>
    </row>
    <row r="47">
      <c r="A47" s="19" t="n"/>
      <c r="B47" s="11" t="inlineStr">
        <is>
          <t>Component 5 - purpose of trading</t>
        </is>
      </c>
      <c r="C47" s="10" t="inlineStr">
        <is>
          <t>single question</t>
        </is>
      </c>
      <c r="D47" s="11">
        <f>IFERROR(VLOOKUP(E47,Scoring!$A$94:$C$98,2,FALSE),"")</f>
        <v/>
      </c>
      <c r="E47" s="21">
        <f>E14</f>
        <v/>
      </c>
      <c r="F47" s="10" t="inlineStr">
        <is>
          <t>Factor A</t>
        </is>
      </c>
    </row>
    <row r="48">
      <c r="A48" s="19" t="n"/>
      <c r="B48" s="11" t="inlineStr">
        <is>
          <t>Component 6 - risk appetite</t>
        </is>
      </c>
      <c r="C48" s="10" t="inlineStr">
        <is>
          <t>single question</t>
        </is>
      </c>
      <c r="D48" s="11">
        <f>IFERROR(VLOOKUP(E48,Scoring!$A$94:$C$98,2,FALSE),"")</f>
        <v/>
      </c>
      <c r="E48" s="21">
        <f>E15</f>
        <v/>
      </c>
      <c r="F48" s="10" t="inlineStr">
        <is>
          <t>Factor A</t>
        </is>
      </c>
    </row>
    <row r="49">
      <c r="A49" s="19" t="n"/>
      <c r="B49" s="11" t="inlineStr">
        <is>
          <t>Component 7 - source of income</t>
        </is>
      </c>
      <c r="C49" s="10" t="inlineStr">
        <is>
          <t>single question</t>
        </is>
      </c>
      <c r="D49" s="11">
        <f>IFERROR(VLOOKUP(E49,Scoring!$A$94:$C$98,2,FALSE),"")</f>
        <v/>
      </c>
      <c r="E49" s="21">
        <f>E16</f>
        <v/>
      </c>
      <c r="F49" s="10" t="inlineStr">
        <is>
          <t>Factor B</t>
        </is>
      </c>
    </row>
    <row r="50">
      <c r="A50" s="19" t="n"/>
      <c r="B50" s="11" t="inlineStr">
        <is>
          <t>Component 8 - knowledge assessment</t>
        </is>
      </c>
      <c r="C50" s="10" t="inlineStr">
        <is>
          <t>score -&gt; band, Medium if nothing ticked</t>
        </is>
      </c>
      <c r="D50" s="11">
        <f>IFERROR(VLOOKUP(E50,Scoring!$A$94:$C$98,2,FALSE),"")</f>
        <v/>
      </c>
      <c r="E50" s="21">
        <f>IF(COUNTIF($C$30:$C$35,"Yes")=0,2,LOOKUP(E36,Scoring!$A$113:$A$116,Scoring!$B$113:$B$116))</f>
        <v/>
      </c>
      <c r="F50" s="10" t="inlineStr">
        <is>
          <t>Factor B</t>
        </is>
      </c>
    </row>
    <row r="51">
      <c r="A51" s="19" t="n"/>
      <c r="B51" s="10" t="inlineStr">
        <is>
          <t>Component 9 - MiCA crypto assessment    not part of this regulation</t>
        </is>
      </c>
      <c r="C51" s="19" t="n"/>
      <c r="D51" s="19" t="n"/>
      <c r="E51" s="19" t="n"/>
      <c r="F51" s="10" t="inlineStr">
        <is>
          <t>CySEC only</t>
        </is>
      </c>
    </row>
    <row r="53">
      <c r="A53" s="4" t="inlineStr">
        <is>
          <t>STEP 4 - SuitabilityBlock - the hard block</t>
        </is>
      </c>
    </row>
    <row r="54">
      <c r="B54" s="14" t="inlineStr">
        <is>
          <t>FSRA-10 defines one check with Condition: All, so every row below has to be true before the user is blocked from copy entirely. A question the user has not answered makes its row false, which is why an incomplete profile is never blocked.</t>
        </is>
      </c>
    </row>
    <row r="55"/>
    <row r="56" ht="22" customHeight="1">
      <c r="A56" s="9" t="inlineStr"/>
      <c r="B56" s="9" t="inlineStr">
        <is>
          <t>Condition</t>
        </is>
      </c>
      <c r="C56" s="9" t="inlineStr">
        <is>
          <t>Blocking answers in this config</t>
        </is>
      </c>
      <c r="D56" s="9" t="inlineStr">
        <is>
          <t>Your answer</t>
        </is>
      </c>
      <c r="E56" s="9" t="inlineStr">
        <is>
          <t>Met?</t>
        </is>
      </c>
      <c r="F56" s="9" t="inlineStr"/>
    </row>
    <row r="57">
      <c r="A57" s="19" t="n"/>
      <c r="B57" s="11" t="inlineStr">
        <is>
          <t>Q9 gain/loss comfort is</t>
        </is>
      </c>
      <c r="C57" s="22" t="inlineStr">
        <is>
          <t>5% / -3%</t>
        </is>
      </c>
      <c r="D57" s="11">
        <f>C15</f>
        <v/>
      </c>
      <c r="E57" s="13">
        <f>IF(OR(C15="5% / -3%"),"YES","no")</f>
        <v/>
      </c>
      <c r="F57" s="19" t="n"/>
    </row>
    <row r="58">
      <c r="A58" s="19" t="n"/>
      <c r="B58" s="11" t="inlineStr">
        <is>
          <t>Q8 purpose of trading is</t>
        </is>
      </c>
      <c r="C58" s="22" t="inlineStr">
        <is>
          <t>Future planning, Saving for a home</t>
        </is>
      </c>
      <c r="D58" s="11">
        <f>C14</f>
        <v/>
      </c>
      <c r="E58" s="13">
        <f>IF(OR(C14="Future planning",C14="Saving for a home"),"YES","no")</f>
        <v/>
      </c>
      <c r="F58" s="19" t="n"/>
    </row>
    <row r="59">
      <c r="A59" s="19" t="n"/>
      <c r="B59" s="11" t="inlineStr">
        <is>
          <t>Q10 net annual income is</t>
        </is>
      </c>
      <c r="C59" s="22" t="inlineStr">
        <is>
          <t>Up to $10K, $10K - $50K, $50K - $200K</t>
        </is>
      </c>
      <c r="D59" s="11">
        <f>C17</f>
        <v/>
      </c>
      <c r="E59" s="13">
        <f>IF(OR(C17="Up to $10K",C17="$10K - $50K",C17="$50K - $200K"),"YES","no")</f>
        <v/>
      </c>
      <c r="F59" s="19" t="n"/>
    </row>
    <row r="60">
      <c r="A60" s="19" t="n"/>
      <c r="B60" s="11" t="inlineStr">
        <is>
          <t>Q11 cash and liquid assets are</t>
        </is>
      </c>
      <c r="C60" s="22" t="inlineStr">
        <is>
          <t>Up to $10K, $10K - $50K, $50K - $200K</t>
        </is>
      </c>
      <c r="D60" s="11">
        <f>C18</f>
        <v/>
      </c>
      <c r="E60" s="13">
        <f>IF(OR(C18="Up to $10K",C18="$10K - $50K",C18="$50K - $200K"),"YES","no")</f>
        <v/>
      </c>
      <c r="F60" s="19" t="n"/>
    </row>
    <row r="61">
      <c r="A61" s="19" t="n"/>
      <c r="B61" s="10" t="inlineStr">
        <is>
          <t>Check DefaultResult in the config</t>
        </is>
      </c>
      <c r="C61" s="17" t="inlineStr">
        <is>
          <t>not set</t>
        </is>
      </c>
      <c r="D61" s="10" t="inlineStr">
        <is>
          <t>not reached on this code path</t>
        </is>
      </c>
      <c r="E61" s="19" t="n"/>
      <c r="F61" s="19" t="n"/>
    </row>
    <row r="63">
      <c r="A63" s="4" t="inlineStr">
        <is>
          <t>STEP 5 - result</t>
        </is>
      </c>
    </row>
    <row r="64" ht="22" customHeight="1">
      <c r="A64" s="9" t="inlineStr"/>
      <c r="B64" s="9" t="inlineStr">
        <is>
          <t>Output</t>
        </is>
      </c>
      <c r="C64" s="9" t="inlineStr">
        <is>
          <t>Formula</t>
        </is>
      </c>
      <c r="D64" s="9" t="inlineStr">
        <is>
          <t>Risk level</t>
        </is>
      </c>
      <c r="E64" s="9" t="inlineStr">
        <is>
          <t>Value</t>
        </is>
      </c>
      <c r="F64" s="9" t="inlineStr"/>
    </row>
    <row r="65">
      <c r="A65" s="19" t="n"/>
      <c r="B65" s="11" t="inlineStr">
        <is>
          <t>Factor A</t>
        </is>
      </c>
      <c r="C65" s="17" t="inlineStr">
        <is>
          <t>MIN(C5, C6)</t>
        </is>
      </c>
      <c r="D65" s="23">
        <f>IFERROR(VLOOKUP(E65,Scoring!$A$94:$C$98,2,FALSE),"")</f>
        <v/>
      </c>
      <c r="E65" s="24">
        <f>MIN(E47,E48)</f>
        <v/>
      </c>
      <c r="F65" s="19" t="n"/>
    </row>
    <row r="66">
      <c r="A66" s="19" t="n"/>
      <c r="B66" s="11" t="inlineStr">
        <is>
          <t>Factor B</t>
        </is>
      </c>
      <c r="C66" s="17" t="inlineStr">
        <is>
          <t>ROUNDDOWN(AVERAGE(C1,C2,C3,C4,C7,C8),0)</t>
        </is>
      </c>
      <c r="D66" s="23">
        <f>IFERROR(VLOOKUP(E66,Scoring!$A$94:$C$98,2,FALSE),"")</f>
        <v/>
      </c>
      <c r="E66" s="24">
        <f>ROUNDDOWN(AVERAGE(E43,E44,E45,E46,E49,E50),0)</f>
        <v/>
      </c>
      <c r="F66" s="19" t="n"/>
    </row>
    <row r="67">
      <c r="A67" s="19" t="n"/>
      <c r="B67" s="20" t="inlineStr">
        <is>
          <t>ClientRiskLevel</t>
        </is>
      </c>
      <c r="C67" s="17" t="inlineStr">
        <is>
          <t>MIN(Factor A, Factor B)</t>
        </is>
      </c>
      <c r="D67" s="25">
        <f>IFERROR(VLOOKUP(E67,Scoring!$A$94:$C$98,2,FALSE),"")</f>
        <v/>
      </c>
      <c r="E67" s="24">
        <f>MIN(E65,E66)</f>
        <v/>
      </c>
      <c r="F67" s="19" t="n"/>
    </row>
    <row r="68">
      <c r="A68" s="19" t="n"/>
      <c r="B68" s="20" t="inlineStr">
        <is>
          <t>AuthorizedRiskScore</t>
        </is>
      </c>
      <c r="C68" s="17" t="inlineStr">
        <is>
          <t>RiskLevelToScoreMappings</t>
        </is>
      </c>
      <c r="D68" s="15" t="inlineStr">
        <is>
          <t>max copyable risk score</t>
        </is>
      </c>
      <c r="E68" s="26">
        <f>IFERROR(VLOOKUP(E67,Scoring!$A$94:$C$98,3,FALSE),"")</f>
        <v/>
      </c>
      <c r="F68" s="19" t="n"/>
    </row>
    <row r="69">
      <c r="A69" s="19" t="n"/>
      <c r="B69" s="20" t="inlineStr">
        <is>
          <t>SuitabilityBlock (hard block)</t>
        </is>
      </c>
      <c r="C69" s="17" t="inlineStr">
        <is>
          <t>ALL 4 conditions above must be met</t>
        </is>
      </c>
      <c r="D69" s="27" t="n"/>
      <c r="E69" s="24">
        <f>IF(AND(E57="YES",E58="YES",E59="YES",E60="YES"),"BLOCKED","Not blocked")</f>
        <v/>
      </c>
      <c r="F69" s="19" t="n"/>
    </row>
    <row r="71" ht="26" customHeight="1">
      <c r="B71" s="28" t="inlineStr">
        <is>
          <t>OUTCOME</t>
        </is>
      </c>
      <c r="C71" s="29">
        <f>IF(E69="BLOCKED","Fully blocked from copy trading","Risk profile "&amp;D67&amp;" - may copy any trader or portfolio with a risk score of "&amp;E68&amp;" or below")</f>
        <v/>
      </c>
      <c r="D71" s="30" t="n"/>
      <c r="E71" s="30" t="n"/>
      <c r="F71" s="30" t="n"/>
    </row>
    <row r="72" ht="14" customHeight="1">
      <c r="C72" s="31">
        <f>IF(C14="Crypto trading and/or conversion","Note: no live config scores that answer to Q8, so component 5 takes the default, Medium. The funnel offers it under every regulation.",IF(OR(C14="Converting crypto to fiat",C14="Trading",C14="Investments"),"Note: the funnel offers that answer here, but only CySEC scores it. Component 5 takes the default, Medium, instead of the level CySEC would assign.",""))</f>
        <v/>
      </c>
    </row>
    <row r="73"/>
    <row r="75">
      <c r="A75" s="4" t="inlineStr">
        <is>
          <t>STEP 6 - check a specific target</t>
        </is>
      </c>
    </row>
    <row r="76">
      <c r="A76" s="19" t="n"/>
      <c r="B76" s="11" t="inlineStr">
        <is>
          <t>Target's risk score (1-10)</t>
        </is>
      </c>
      <c r="C76" s="32" t="n">
        <v>7</v>
      </c>
    </row>
    <row r="77" ht="24" customHeight="1">
      <c r="B77" s="33" t="inlineStr">
        <is>
          <t>Can this user copy it?</t>
        </is>
      </c>
      <c r="C77" s="29">
        <f>IF(E69="BLOCKED","NO - fully blocked from copy",IF(C76&lt;=E68,"YES - allowed","NO - target risk "&amp;C76&amp;" exceeds the limit of "&amp;E68))</f>
        <v/>
      </c>
      <c r="D77" s="30" t="n"/>
      <c r="E77" s="30" t="n"/>
      <c r="F77" s="30" t="n"/>
    </row>
    <row r="79">
      <c r="B79" s="14" t="inlineStr">
        <is>
          <t>This sheet models gates 1 and 2. Gate 3, ongoing monitoring, is a separate daily solvency check - see the Monitoring sheet. A user can pass here and still be blocked from opening new copies.</t>
        </is>
      </c>
    </row>
  </sheetData>
  <mergeCells count="11">
    <mergeCell ref="B26:F28"/>
    <mergeCell ref="A2:F2"/>
    <mergeCell ref="B39:F39"/>
    <mergeCell ref="B24:F24"/>
    <mergeCell ref="C77:F77"/>
    <mergeCell ref="B20:F21"/>
    <mergeCell ref="B37:F38"/>
    <mergeCell ref="C71:F71"/>
    <mergeCell ref="C72:F73"/>
    <mergeCell ref="B79:F79"/>
    <mergeCell ref="B54:F55"/>
  </mergeCells>
  <dataValidations count="20">
    <dataValidation sqref="C6" showDropDown="0" showInputMessage="0" showErrorMessage="0" allowBlank="0" type="list">
      <formula1>Lists!$A$3:$A$6</formula1>
    </dataValidation>
    <dataValidation sqref="C7" showDropDown="0" showInputMessage="0" showErrorMessage="0" allowBlank="0" type="list">
      <formula1>Lists!$B$3:$B$6</formula1>
    </dataValidation>
    <dataValidation sqref="C8" showDropDown="0" showInputMessage="0" showErrorMessage="0" allowBlank="0" type="list">
      <formula1>Lists!$C$3:$C$8</formula1>
    </dataValidation>
    <dataValidation sqref="C9" showDropDown="0" showInputMessage="0" showErrorMessage="0" allowBlank="0" type="list">
      <formula1>Lists!$D$3:$D$6</formula1>
    </dataValidation>
    <dataValidation sqref="C10" showDropDown="0" showInputMessage="0" showErrorMessage="0" allowBlank="0" type="list">
      <formula1>Lists!$E$3:$E$6</formula1>
    </dataValidation>
    <dataValidation sqref="C11" showDropDown="0" showInputMessage="0" showErrorMessage="0" allowBlank="0" type="list">
      <formula1>Lists!$F$3:$F$6</formula1>
    </dataValidation>
    <dataValidation sqref="C12" showDropDown="0" showInputMessage="0" showErrorMessage="0" allowBlank="0" type="list">
      <formula1>Lists!$G$3:$G$6</formula1>
    </dataValidation>
    <dataValidation sqref="C13" showDropDown="0" showInputMessage="0" showErrorMessage="0" allowBlank="0" type="list">
      <formula1>Lists!$H$3:$H$5</formula1>
    </dataValidation>
    <dataValidation sqref="C14" showDropDown="0" showInputMessage="0" showErrorMessage="0" allowBlank="0" type="list">
      <formula1>Lists!$I$3:$I$10</formula1>
    </dataValidation>
    <dataValidation sqref="C15" showDropDown="0" showInputMessage="0" showErrorMessage="0" allowBlank="0" type="list">
      <formula1>Lists!$J$3:$J$7</formula1>
    </dataValidation>
    <dataValidation sqref="C16" showDropDown="0" showInputMessage="0" showErrorMessage="0" allowBlank="0" type="list">
      <formula1>Lists!$K$3:$K$14</formula1>
    </dataValidation>
    <dataValidation sqref="C17" showDropDown="0" showInputMessage="0" showErrorMessage="0" allowBlank="0" type="list">
      <formula1>Lists!$L$3:$L$8</formula1>
    </dataValidation>
    <dataValidation sqref="C18" showDropDown="0" showInputMessage="0" showErrorMessage="0" allowBlank="0" type="list">
      <formula1>Lists!$M$3:$M$8</formula1>
    </dataValidation>
    <dataValidation sqref="C30" showDropDown="0" showInputMessage="0" showErrorMessage="0" allowBlank="0" type="list">
      <formula1>Lists!$N$3:$N$4</formula1>
    </dataValidation>
    <dataValidation sqref="C31" showDropDown="0" showInputMessage="0" showErrorMessage="0" allowBlank="0" type="list">
      <formula1>Lists!$N$3:$N$4</formula1>
    </dataValidation>
    <dataValidation sqref="C32" showDropDown="0" showInputMessage="0" showErrorMessage="0" allowBlank="0" type="list">
      <formula1>Lists!$N$3:$N$4</formula1>
    </dataValidation>
    <dataValidation sqref="C33" showDropDown="0" showInputMessage="0" showErrorMessage="0" allowBlank="0" type="list">
      <formula1>Lists!$N$3:$N$4</formula1>
    </dataValidation>
    <dataValidation sqref="C34" showDropDown="0" showInputMessage="0" showErrorMessage="0" allowBlank="0" type="list">
      <formula1>Lists!$N$3:$N$4</formula1>
    </dataValidation>
    <dataValidation sqref="C35" showDropDown="0" showInputMessage="0" showErrorMessage="0" allowBlank="0" type="list">
      <formula1>Lists!$N$3:$N$4</formula1>
    </dataValidation>
    <dataValidation sqref="C76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24" customWidth="1" min="3" max="3"/>
    <col width="18" customWidth="1" min="4" max="4"/>
    <col width="46" customWidth="1" min="5" max="5"/>
  </cols>
  <sheetData>
    <row r="1">
      <c r="A1" s="7" t="inlineStr">
        <is>
          <t>Gate 3 - ongoing monitoring (daily solvency check)</t>
        </is>
      </c>
    </row>
    <row r="2">
      <c r="A2" s="8" t="inlineStr">
        <is>
          <t>Blocks NEW copy positions only. Existing copies are never closed. Evaluated once per day, so changes take effect the following day.</t>
        </is>
      </c>
    </row>
    <row r="4">
      <c r="B4" s="4" t="inlineStr">
        <is>
          <t>INPUTS</t>
        </is>
      </c>
    </row>
    <row r="5" ht="22" customHeight="1">
      <c r="A5" s="9" t="inlineStr"/>
      <c r="B5" s="9" t="inlineStr">
        <is>
          <t>Input</t>
        </is>
      </c>
      <c r="C5" s="9" t="inlineStr">
        <is>
          <t>Your answer</t>
        </is>
      </c>
      <c r="D5" s="9" t="inlineStr">
        <is>
          <t>Value used</t>
        </is>
      </c>
      <c r="E5" s="9" t="inlineStr">
        <is>
          <t>Notes</t>
        </is>
      </c>
    </row>
    <row r="6">
      <c r="A6" s="19" t="n"/>
      <c r="B6" s="11" t="inlineStr">
        <is>
          <t>Q10 - net annual income</t>
        </is>
      </c>
      <c r="C6" s="12" t="inlineStr">
        <is>
          <t>$10K - $50K</t>
        </is>
      </c>
      <c r="D6" s="34">
        <f>IFERROR(VLOOKUP(C6,Scoring!$A$125:$B$130,2,FALSE),0)</f>
        <v/>
      </c>
      <c r="E6" s="10" t="inlineStr">
        <is>
          <t>band midpoint</t>
        </is>
      </c>
    </row>
    <row r="7">
      <c r="A7" s="19" t="n"/>
      <c r="B7" s="11" t="inlineStr">
        <is>
          <t>Q11 - total net worth / liquid assets</t>
        </is>
      </c>
      <c r="C7" s="12" t="inlineStr">
        <is>
          <t>$10K - $50K</t>
        </is>
      </c>
      <c r="D7" s="34">
        <f>IFERROR(VLOOKUP(C7,Scoring!$A$125:$B$130,2,FALSE),0)</f>
        <v/>
      </c>
      <c r="E7" s="10" t="inlineStr">
        <is>
          <t>band midpoint</t>
        </is>
      </c>
    </row>
    <row r="8">
      <c r="A8" s="19" t="n"/>
      <c r="B8" s="11" t="inlineStr">
        <is>
          <t>Q14 - planned investment over the coming year</t>
        </is>
      </c>
      <c r="C8" s="12" t="inlineStr">
        <is>
          <t>$50K - $200K</t>
        </is>
      </c>
      <c r="D8" s="34">
        <f>IFERROR(VLOOKUP(C8,Scoring!$C$125:$D$130,2,FALSE),0)</f>
        <v/>
      </c>
      <c r="E8" s="10" t="inlineStr">
        <is>
          <t>band midpoint; 'Above $1M' is open-ended</t>
        </is>
      </c>
    </row>
    <row r="9">
      <c r="A9" s="19" t="n"/>
      <c r="B9" s="11" t="inlineStr">
        <is>
          <t>Year of first-time deposit (FTD)</t>
        </is>
      </c>
      <c r="C9" s="12" t="n">
        <v>2021</v>
      </c>
      <c r="D9" s="27" t="n"/>
      <c r="E9" s="19" t="n"/>
    </row>
    <row r="10">
      <c r="A10" s="19" t="n"/>
      <c r="B10" s="11" t="inlineStr">
        <is>
          <t>Current year</t>
        </is>
      </c>
      <c r="C10" s="12" t="n">
        <v>2026</v>
      </c>
      <c r="D10" s="27" t="n"/>
      <c r="E10" s="19" t="n"/>
    </row>
    <row r="11">
      <c r="A11" s="19" t="n"/>
      <c r="B11" s="11" t="inlineStr">
        <is>
          <t>Years since FTD, including the FTD year</t>
        </is>
      </c>
      <c r="C11" s="19" t="n"/>
      <c r="D11" s="13">
        <f>C10-C9+1</f>
        <v/>
      </c>
      <c r="E11" s="19" t="n"/>
    </row>
    <row r="12">
      <c r="A12" s="19" t="n"/>
      <c r="B12" s="11" t="inlineStr">
        <is>
          <t>Cash currently allocated to copies (CA)</t>
        </is>
      </c>
      <c r="C12" s="35" t="n">
        <v>40000</v>
      </c>
      <c r="D12" s="27" t="n"/>
      <c r="E12" s="10" t="inlineStr">
        <is>
          <t>initial investments - cash removed + cash added</t>
        </is>
      </c>
    </row>
    <row r="13">
      <c r="A13" s="19" t="n"/>
      <c r="B13" s="11" t="inlineStr">
        <is>
          <t>Realised P/L on closed copies (RPL)</t>
        </is>
      </c>
      <c r="C13" s="35" t="n">
        <v>2000</v>
      </c>
      <c r="D13" s="27" t="n"/>
      <c r="E13" s="10" t="inlineStr">
        <is>
          <t>closed mirror positions only</t>
        </is>
      </c>
    </row>
    <row r="15">
      <c r="B15" s="4" t="inlineStr">
        <is>
          <t>CALCULATION</t>
        </is>
      </c>
    </row>
    <row r="16" ht="22" customHeight="1">
      <c r="A16" s="9" t="inlineStr"/>
      <c r="B16" s="9" t="inlineStr">
        <is>
          <t>Term</t>
        </is>
      </c>
      <c r="C16" s="9" t="inlineStr">
        <is>
          <t>Formula</t>
        </is>
      </c>
      <c r="D16" s="9" t="inlineStr">
        <is>
          <t>Value</t>
        </is>
      </c>
      <c r="E16" s="9" t="inlineStr">
        <is>
          <t>Notes</t>
        </is>
      </c>
    </row>
    <row r="17">
      <c r="A17" s="19" t="n"/>
      <c r="B17" s="11" t="inlineStr">
        <is>
          <t>FSUSTdeclared</t>
        </is>
      </c>
      <c r="C17" s="17" t="inlineStr">
        <is>
          <t>Q14 midpoint x 50% x years since FTD</t>
        </is>
      </c>
      <c r="D17" s="36">
        <f>D8*0.5*D11</f>
        <v/>
      </c>
      <c r="E17" s="19" t="n"/>
    </row>
    <row r="18">
      <c r="A18" s="19" t="n"/>
      <c r="B18" s="11" t="inlineStr">
        <is>
          <t>FSUSTcalculated</t>
        </is>
      </c>
      <c r="C18" s="17" t="inlineStr">
        <is>
          <t>(Q10 x 50%) + (Q11 x 50%)</t>
        </is>
      </c>
      <c r="D18" s="36">
        <f>D6*0.5+D7*0.5</f>
        <v/>
      </c>
      <c r="E18" s="19" t="n"/>
    </row>
    <row r="19">
      <c r="A19" s="19" t="n"/>
      <c r="B19" s="20" t="inlineStr">
        <is>
          <t>FSUST</t>
        </is>
      </c>
      <c r="C19" s="17" t="inlineStr">
        <is>
          <t>MIN(declared, calculated)</t>
        </is>
      </c>
      <c r="D19" s="37">
        <f>MIN(D17,D18)</f>
        <v/>
      </c>
      <c r="E19" s="19" t="n"/>
    </row>
    <row r="20">
      <c r="A20" s="19" t="n"/>
      <c r="B20" s="20" t="inlineStr">
        <is>
          <t>CU (copy utilisation)</t>
        </is>
      </c>
      <c r="C20" s="17" t="inlineStr">
        <is>
          <t>50% x CA - RPL</t>
        </is>
      </c>
      <c r="D20" s="37">
        <f>0.5*C12-C13</f>
        <v/>
      </c>
      <c r="E20" s="19" t="n"/>
    </row>
    <row r="22" ht="26" customHeight="1">
      <c r="B22" s="28" t="inlineStr">
        <is>
          <t>OUTCOME</t>
        </is>
      </c>
      <c r="C22" s="29">
        <f>IF(D20&lt;=D19,"Allowed - copy utilisation is within financial sustainability","BLOCKED from opening new copies - utilisation exceeds sustainability")</f>
        <v/>
      </c>
      <c r="D22" s="30" t="n"/>
      <c r="E22" s="30" t="n"/>
    </row>
    <row r="24">
      <c r="B24" s="14" t="inlineStr">
        <is>
          <t>Caveat: the source documentation says 'Q1 answer' and 'average of Q3 answer' without defining which point in a band is used. This sheet uses band midpoints from the client code (answers.data.ts). A second midpoint table in basic-user.ts disagrees for the top band. Treat absolute values as indicative; the comparison logic is exact.</t>
        </is>
      </c>
    </row>
    <row r="25"/>
    <row r="26"/>
  </sheetData>
  <mergeCells count="3">
    <mergeCell ref="A2:E2"/>
    <mergeCell ref="B24:E26"/>
    <mergeCell ref="C22:E22"/>
  </mergeCells>
  <dataValidations count="3">
    <dataValidation sqref="C6" showDropDown="0" showInputMessage="0" showErrorMessage="0" allowBlank="0" type="list">
      <formula1>Lists!$L$3:$L$8</formula1>
    </dataValidation>
    <dataValidation sqref="C7" showDropDown="0" showInputMessage="0" showErrorMessage="0" allowBlank="0" type="list">
      <formula1>Lists!$M$3:$M$8</formula1>
    </dataValidation>
    <dataValidation sqref="C8" showDropDown="0" showInputMessage="0" showErrorMessage="0" allowBlank="0" type="list">
      <formula1>Lists!$O$3:$O$8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4" customWidth="1" min="3" max="3"/>
    <col width="16" customWidth="1" min="4" max="4"/>
    <col width="12" customWidth="1" min="5" max="5"/>
    <col width="44" customWidth="1" min="6" max="6"/>
  </cols>
  <sheetData>
    <row r="1">
      <c r="A1" s="7" t="inlineStr">
        <is>
          <t>Scoring tables</t>
        </is>
      </c>
    </row>
    <row r="2">
      <c r="A2" s="8" t="inlineStr">
        <is>
          <t>Verbatim from the live ClientRiskProfileConfiguration documents CySEC-24, FCA-15, ASIC-9, ASIC GAML-15 and FSRA-10. Every calculator tab looks up against column A.</t>
        </is>
      </c>
    </row>
    <row r="4" ht="22" customHeight="1">
      <c r="A4" s="9" t="inlineStr">
        <is>
          <t>Lookup key</t>
        </is>
      </c>
      <c r="B4" s="9" t="inlineStr">
        <is>
          <t>Question</t>
        </is>
      </c>
      <c r="C4" s="9" t="inlineStr">
        <is>
          <t>Answer</t>
        </is>
      </c>
      <c r="D4" s="9" t="inlineStr">
        <is>
          <t>Risk level</t>
        </is>
      </c>
      <c r="E4" s="9" t="inlineStr">
        <is>
          <t>Weight</t>
        </is>
      </c>
      <c r="F4" s="9" t="inlineStr">
        <is>
          <t>Notes</t>
        </is>
      </c>
    </row>
    <row r="5">
      <c r="A5" s="17" t="inlineStr">
        <is>
          <t>Equities|Never traded</t>
        </is>
      </c>
      <c r="B5" s="11" t="inlineStr">
        <is>
          <t>Q33 Equities</t>
        </is>
      </c>
      <c r="C5" s="11" t="inlineStr">
        <is>
          <t>Never traded</t>
        </is>
      </c>
      <c r="D5" s="11" t="inlineStr">
        <is>
          <t>Medium</t>
        </is>
      </c>
      <c r="E5" s="13" t="n">
        <v>2</v>
      </c>
      <c r="F5" s="19" t="n"/>
    </row>
    <row r="6">
      <c r="A6" s="17" t="inlineStr">
        <is>
          <t>Equities|0-10 times</t>
        </is>
      </c>
      <c r="B6" s="11" t="inlineStr">
        <is>
          <t>Q33 Equities</t>
        </is>
      </c>
      <c r="C6" s="11" t="inlineStr">
        <is>
          <t>0-10 times</t>
        </is>
      </c>
      <c r="D6" s="11" t="inlineStr">
        <is>
          <t>Medium</t>
        </is>
      </c>
      <c r="E6" s="13" t="n">
        <v>2</v>
      </c>
      <c r="F6" s="19" t="n"/>
    </row>
    <row r="7">
      <c r="A7" s="17" t="inlineStr">
        <is>
          <t>Equities|10-20 times</t>
        </is>
      </c>
      <c r="B7" s="11" t="inlineStr">
        <is>
          <t>Q33 Equities</t>
        </is>
      </c>
      <c r="C7" s="11" t="inlineStr">
        <is>
          <t>10-20 times</t>
        </is>
      </c>
      <c r="D7" s="11" t="inlineStr">
        <is>
          <t>MediumHigh</t>
        </is>
      </c>
      <c r="E7" s="13" t="n">
        <v>3</v>
      </c>
      <c r="F7" s="19" t="n"/>
    </row>
    <row r="8">
      <c r="A8" s="17" t="inlineStr">
        <is>
          <t>Equities|Above 20 times</t>
        </is>
      </c>
      <c r="B8" s="11" t="inlineStr">
        <is>
          <t>Q33 Equities</t>
        </is>
      </c>
      <c r="C8" s="11" t="inlineStr">
        <is>
          <t>Above 20 times</t>
        </is>
      </c>
      <c r="D8" s="11" t="inlineStr">
        <is>
          <t>High</t>
        </is>
      </c>
      <c r="E8" s="13" t="n">
        <v>4</v>
      </c>
      <c r="F8" s="19" t="n"/>
    </row>
    <row r="9">
      <c r="A9" s="17" t="inlineStr">
        <is>
          <t>Crypto|Never traded</t>
        </is>
      </c>
      <c r="B9" s="11" t="inlineStr">
        <is>
          <t>Q34 Crypto</t>
        </is>
      </c>
      <c r="C9" s="11" t="inlineStr">
        <is>
          <t>Never traded</t>
        </is>
      </c>
      <c r="D9" s="11" t="inlineStr">
        <is>
          <t>Medium</t>
        </is>
      </c>
      <c r="E9" s="13" t="n">
        <v>2</v>
      </c>
      <c r="F9" s="19" t="n"/>
    </row>
    <row r="10">
      <c r="A10" s="17" t="inlineStr">
        <is>
          <t>Crypto|0-10 times</t>
        </is>
      </c>
      <c r="B10" s="11" t="inlineStr">
        <is>
          <t>Q34 Crypto</t>
        </is>
      </c>
      <c r="C10" s="11" t="inlineStr">
        <is>
          <t>0-10 times</t>
        </is>
      </c>
      <c r="D10" s="11" t="inlineStr">
        <is>
          <t>MediumHigh</t>
        </is>
      </c>
      <c r="E10" s="13" t="n">
        <v>3</v>
      </c>
      <c r="F10" s="19" t="n"/>
    </row>
    <row r="11">
      <c r="A11" s="17" t="inlineStr">
        <is>
          <t>Crypto|10-20 times</t>
        </is>
      </c>
      <c r="B11" s="11" t="inlineStr">
        <is>
          <t>Q34 Crypto</t>
        </is>
      </c>
      <c r="C11" s="11" t="inlineStr">
        <is>
          <t>10-20 times</t>
        </is>
      </c>
      <c r="D11" s="11" t="inlineStr">
        <is>
          <t>High</t>
        </is>
      </c>
      <c r="E11" s="13" t="n">
        <v>4</v>
      </c>
      <c r="F11" s="19" t="n"/>
    </row>
    <row r="12">
      <c r="A12" s="17" t="inlineStr">
        <is>
          <t>Crypto|Above 20 times</t>
        </is>
      </c>
      <c r="B12" s="11" t="inlineStr">
        <is>
          <t>Q34 Crypto</t>
        </is>
      </c>
      <c r="C12" s="11" t="inlineStr">
        <is>
          <t>Above 20 times</t>
        </is>
      </c>
      <c r="D12" s="11" t="inlineStr">
        <is>
          <t>High</t>
        </is>
      </c>
      <c r="E12" s="13" t="n">
        <v>4</v>
      </c>
      <c r="F12" s="19" t="n"/>
    </row>
    <row r="13">
      <c r="A13" s="17" t="inlineStr">
        <is>
          <t>LeveragedCfd|Never traded</t>
        </is>
      </c>
      <c r="B13" s="11" t="inlineStr">
        <is>
          <t>Q35 LeveragedCfd</t>
        </is>
      </c>
      <c r="C13" s="11" t="inlineStr">
        <is>
          <t>Never traded</t>
        </is>
      </c>
      <c r="D13" s="11" t="inlineStr">
        <is>
          <t>Medium</t>
        </is>
      </c>
      <c r="E13" s="13" t="n">
        <v>2</v>
      </c>
      <c r="F13" s="19" t="n"/>
    </row>
    <row r="14">
      <c r="A14" s="17" t="inlineStr">
        <is>
          <t>LeveragedCfd|0-10 times</t>
        </is>
      </c>
      <c r="B14" s="11" t="inlineStr">
        <is>
          <t>Q35 LeveragedCfd</t>
        </is>
      </c>
      <c r="C14" s="11" t="inlineStr">
        <is>
          <t>0-10 times</t>
        </is>
      </c>
      <c r="D14" s="11" t="inlineStr">
        <is>
          <t>MediumHigh</t>
        </is>
      </c>
      <c r="E14" s="13" t="n">
        <v>3</v>
      </c>
      <c r="F14" s="19" t="n"/>
    </row>
    <row r="15">
      <c r="A15" s="17" t="inlineStr">
        <is>
          <t>LeveragedCfd|10-20 times</t>
        </is>
      </c>
      <c r="B15" s="11" t="inlineStr">
        <is>
          <t>Q35 LeveragedCfd</t>
        </is>
      </c>
      <c r="C15" s="11" t="inlineStr">
        <is>
          <t>10-20 times</t>
        </is>
      </c>
      <c r="D15" s="11" t="inlineStr">
        <is>
          <t>High</t>
        </is>
      </c>
      <c r="E15" s="13" t="n">
        <v>4</v>
      </c>
      <c r="F15" s="19" t="n"/>
    </row>
    <row r="16">
      <c r="A16" s="17" t="inlineStr">
        <is>
          <t>LeveragedCfd|Above 20 times</t>
        </is>
      </c>
      <c r="B16" s="11" t="inlineStr">
        <is>
          <t>Q35 LeveragedCfd</t>
        </is>
      </c>
      <c r="C16" s="11" t="inlineStr">
        <is>
          <t>Above 20 times</t>
        </is>
      </c>
      <c r="D16" s="11" t="inlineStr">
        <is>
          <t>High</t>
        </is>
      </c>
      <c r="E16" s="13" t="n">
        <v>4</v>
      </c>
      <c r="F16" s="19" t="n"/>
    </row>
    <row r="17">
      <c r="A17" s="17" t="inlineStr">
        <is>
          <t>LeveragedCfd|10-40 times</t>
        </is>
      </c>
      <c r="B17" s="11" t="inlineStr">
        <is>
          <t>Q35 LeveragedCfd</t>
        </is>
      </c>
      <c r="C17" s="11" t="inlineStr">
        <is>
          <t>10-40 times</t>
        </is>
      </c>
      <c r="D17" s="11" t="inlineStr">
        <is>
          <t>High</t>
        </is>
      </c>
      <c r="E17" s="13" t="n">
        <v>4</v>
      </c>
      <c r="F17" s="19" t="n"/>
    </row>
    <row r="18">
      <c r="A18" s="17" t="inlineStr">
        <is>
          <t>LeveragedCfd|Above 40 times</t>
        </is>
      </c>
      <c r="B18" s="11" t="inlineStr">
        <is>
          <t>Q35 LeveragedCfd</t>
        </is>
      </c>
      <c r="C18" s="11" t="inlineStr">
        <is>
          <t>Above 40 times</t>
        </is>
      </c>
      <c r="D18" s="11" t="inlineStr">
        <is>
          <t>High</t>
        </is>
      </c>
      <c r="E18" s="13" t="n">
        <v>4</v>
      </c>
      <c r="F18" s="19" t="n"/>
    </row>
    <row r="19">
      <c r="A19" s="17" t="inlineStr">
        <is>
          <t>EquitiesInvestedAmount|Never</t>
        </is>
      </c>
      <c r="B19" s="11" t="inlineStr">
        <is>
          <t>Q47 EquitiesInvestedAmount</t>
        </is>
      </c>
      <c r="C19" s="11" t="inlineStr">
        <is>
          <t>Never</t>
        </is>
      </c>
      <c r="D19" s="11" t="inlineStr">
        <is>
          <t>Medium</t>
        </is>
      </c>
      <c r="E19" s="13" t="n">
        <v>2</v>
      </c>
      <c r="F19" s="19" t="n"/>
    </row>
    <row r="20">
      <c r="A20" s="17" t="inlineStr">
        <is>
          <t>EquitiesInvestedAmount|$1 - $500</t>
        </is>
      </c>
      <c r="B20" s="11" t="inlineStr">
        <is>
          <t>Q47 EquitiesInvestedAmount</t>
        </is>
      </c>
      <c r="C20" s="11" t="inlineStr">
        <is>
          <t>$1 - $500</t>
        </is>
      </c>
      <c r="D20" s="11" t="inlineStr">
        <is>
          <t>Medium</t>
        </is>
      </c>
      <c r="E20" s="13" t="n">
        <v>2</v>
      </c>
      <c r="F20" s="19" t="n"/>
    </row>
    <row r="21">
      <c r="A21" s="17" t="inlineStr">
        <is>
          <t>EquitiesInvestedAmount|$500 - $2,000</t>
        </is>
      </c>
      <c r="B21" s="11" t="inlineStr">
        <is>
          <t>Q47 EquitiesInvestedAmount</t>
        </is>
      </c>
      <c r="C21" s="11" t="inlineStr">
        <is>
          <t>$500 - $2,000</t>
        </is>
      </c>
      <c r="D21" s="11" t="inlineStr">
        <is>
          <t>Medium</t>
        </is>
      </c>
      <c r="E21" s="13" t="n">
        <v>2</v>
      </c>
      <c r="F21" s="19" t="n"/>
    </row>
    <row r="22">
      <c r="A22" s="17" t="inlineStr">
        <is>
          <t>EquitiesInvestedAmount|Above $2,000</t>
        </is>
      </c>
      <c r="B22" s="11" t="inlineStr">
        <is>
          <t>Q47 EquitiesInvestedAmount</t>
        </is>
      </c>
      <c r="C22" s="11" t="inlineStr">
        <is>
          <t>Above $2,000</t>
        </is>
      </c>
      <c r="D22" s="11" t="inlineStr">
        <is>
          <t>Medium</t>
        </is>
      </c>
      <c r="E22" s="13" t="n">
        <v>2</v>
      </c>
      <c r="F22" s="19" t="n"/>
    </row>
    <row r="23">
      <c r="A23" s="17" t="inlineStr">
        <is>
          <t>CryptoInvestedAmount|Never</t>
        </is>
      </c>
      <c r="B23" s="11" t="inlineStr">
        <is>
          <t>Q48 CryptoInvestedAmount</t>
        </is>
      </c>
      <c r="C23" s="11" t="inlineStr">
        <is>
          <t>Never</t>
        </is>
      </c>
      <c r="D23" s="11" t="inlineStr">
        <is>
          <t>Medium</t>
        </is>
      </c>
      <c r="E23" s="13" t="n">
        <v>2</v>
      </c>
      <c r="F23" s="19" t="n"/>
    </row>
    <row r="24">
      <c r="A24" s="17" t="inlineStr">
        <is>
          <t>CryptoInvestedAmount|$1 - $500</t>
        </is>
      </c>
      <c r="B24" s="11" t="inlineStr">
        <is>
          <t>Q48 CryptoInvestedAmount</t>
        </is>
      </c>
      <c r="C24" s="11" t="inlineStr">
        <is>
          <t>$1 - $500</t>
        </is>
      </c>
      <c r="D24" s="11" t="inlineStr">
        <is>
          <t>Medium</t>
        </is>
      </c>
      <c r="E24" s="13" t="n">
        <v>2</v>
      </c>
      <c r="F24" s="19" t="n"/>
    </row>
    <row r="25">
      <c r="A25" s="17" t="inlineStr">
        <is>
          <t>CryptoInvestedAmount|$500 - $2,000</t>
        </is>
      </c>
      <c r="B25" s="11" t="inlineStr">
        <is>
          <t>Q48 CryptoInvestedAmount</t>
        </is>
      </c>
      <c r="C25" s="11" t="inlineStr">
        <is>
          <t>$500 - $2,000</t>
        </is>
      </c>
      <c r="D25" s="11" t="inlineStr">
        <is>
          <t>High</t>
        </is>
      </c>
      <c r="E25" s="13" t="n">
        <v>4</v>
      </c>
      <c r="F25" s="19" t="n"/>
    </row>
    <row r="26">
      <c r="A26" s="17" t="inlineStr">
        <is>
          <t>CryptoInvestedAmount|Above $2,000</t>
        </is>
      </c>
      <c r="B26" s="11" t="inlineStr">
        <is>
          <t>Q48 CryptoInvestedAmount</t>
        </is>
      </c>
      <c r="C26" s="11" t="inlineStr">
        <is>
          <t>Above $2,000</t>
        </is>
      </c>
      <c r="D26" s="11" t="inlineStr">
        <is>
          <t>High</t>
        </is>
      </c>
      <c r="E26" s="13" t="n">
        <v>4</v>
      </c>
      <c r="F26" s="19" t="n"/>
    </row>
    <row r="27">
      <c r="A27" s="17" t="inlineStr">
        <is>
          <t>LeveragedCfdInvestedAmount|Never</t>
        </is>
      </c>
      <c r="B27" s="11" t="inlineStr">
        <is>
          <t>Q45 LeveragedCfdInvestedAmount</t>
        </is>
      </c>
      <c r="C27" s="11" t="inlineStr">
        <is>
          <t>Never</t>
        </is>
      </c>
      <c r="D27" s="11" t="inlineStr">
        <is>
          <t>Medium</t>
        </is>
      </c>
      <c r="E27" s="13" t="n">
        <v>2</v>
      </c>
      <c r="F27" s="19" t="n"/>
    </row>
    <row r="28">
      <c r="A28" s="17" t="inlineStr">
        <is>
          <t>LeveragedCfdInvestedAmount|$1 - $500</t>
        </is>
      </c>
      <c r="B28" s="11" t="inlineStr">
        <is>
          <t>Q45 LeveragedCfdInvestedAmount</t>
        </is>
      </c>
      <c r="C28" s="11" t="inlineStr">
        <is>
          <t>$1 - $500</t>
        </is>
      </c>
      <c r="D28" s="11" t="inlineStr">
        <is>
          <t>MediumHigh</t>
        </is>
      </c>
      <c r="E28" s="13" t="n">
        <v>3</v>
      </c>
      <c r="F28" s="19" t="n"/>
    </row>
    <row r="29">
      <c r="A29" s="17" t="inlineStr">
        <is>
          <t>LeveragedCfdInvestedAmount|$500 - $2,000</t>
        </is>
      </c>
      <c r="B29" s="11" t="inlineStr">
        <is>
          <t>Q45 LeveragedCfdInvestedAmount</t>
        </is>
      </c>
      <c r="C29" s="11" t="inlineStr">
        <is>
          <t>$500 - $2,000</t>
        </is>
      </c>
      <c r="D29" s="11" t="inlineStr">
        <is>
          <t>High</t>
        </is>
      </c>
      <c r="E29" s="13" t="n">
        <v>4</v>
      </c>
      <c r="F29" s="19" t="n"/>
    </row>
    <row r="30">
      <c r="A30" s="17" t="inlineStr">
        <is>
          <t>LeveragedCfdInvestedAmount|Above $2,000</t>
        </is>
      </c>
      <c r="B30" s="11" t="inlineStr">
        <is>
          <t>Q45 LeveragedCfdInvestedAmount</t>
        </is>
      </c>
      <c r="C30" s="11" t="inlineStr">
        <is>
          <t>Above $2,000</t>
        </is>
      </c>
      <c r="D30" s="11" t="inlineStr">
        <is>
          <t>High</t>
        </is>
      </c>
      <c r="E30" s="13" t="n">
        <v>4</v>
      </c>
      <c r="F30" s="19" t="n"/>
    </row>
    <row r="31">
      <c r="A31" s="17" t="inlineStr">
        <is>
          <t>TradingKnowledge|Professional certificate / work experience</t>
        </is>
      </c>
      <c r="B31" s="11" t="inlineStr">
        <is>
          <t>Q3 TradingKnowledge</t>
        </is>
      </c>
      <c r="C31" s="11" t="inlineStr">
        <is>
          <t>Professional certificate / work experience</t>
        </is>
      </c>
      <c r="D31" s="11" t="inlineStr">
        <is>
          <t>High</t>
        </is>
      </c>
      <c r="E31" s="13" t="n">
        <v>4</v>
      </c>
      <c r="F31" s="19" t="n"/>
    </row>
    <row r="32">
      <c r="A32" s="17" t="inlineStr">
        <is>
          <t>TradingKnowledge|University degree in finance</t>
        </is>
      </c>
      <c r="B32" s="11" t="inlineStr">
        <is>
          <t>Q3 TradingKnowledge</t>
        </is>
      </c>
      <c r="C32" s="11" t="inlineStr">
        <is>
          <t>University degree in finance</t>
        </is>
      </c>
      <c r="D32" s="11" t="inlineStr">
        <is>
          <t>High</t>
        </is>
      </c>
      <c r="E32" s="13" t="n">
        <v>4</v>
      </c>
      <c r="F32" s="19" t="n"/>
    </row>
    <row r="33">
      <c r="A33" s="17" t="inlineStr">
        <is>
          <t>TradingKnowledge|Trading courses</t>
        </is>
      </c>
      <c r="B33" s="11" t="inlineStr">
        <is>
          <t>Q3 TradingKnowledge</t>
        </is>
      </c>
      <c r="C33" s="11" t="inlineStr">
        <is>
          <t>Trading courses</t>
        </is>
      </c>
      <c r="D33" s="11" t="inlineStr">
        <is>
          <t>MediumHigh</t>
        </is>
      </c>
      <c r="E33" s="13" t="n">
        <v>3</v>
      </c>
      <c r="F33" s="19" t="n"/>
    </row>
    <row r="34">
      <c r="A34" s="17" t="inlineStr">
        <is>
          <t>TradingKnowledge|No financial knowledge</t>
        </is>
      </c>
      <c r="B34" s="11" t="inlineStr">
        <is>
          <t>Q3 TradingKnowledge</t>
        </is>
      </c>
      <c r="C34" s="11" t="inlineStr">
        <is>
          <t>No financial knowledge</t>
        </is>
      </c>
      <c r="D34" s="11" t="inlineStr">
        <is>
          <t>Medium</t>
        </is>
      </c>
      <c r="E34" s="13" t="n">
        <v>2</v>
      </c>
      <c r="F34" s="19" t="n"/>
    </row>
    <row r="35">
      <c r="A35" s="17" t="inlineStr">
        <is>
          <t>TradingStrategy|A few seconds up to 24 hours</t>
        </is>
      </c>
      <c r="B35" s="11" t="inlineStr">
        <is>
          <t>Q5 TradingStrategy</t>
        </is>
      </c>
      <c r="C35" s="11" t="inlineStr">
        <is>
          <t>A few seconds up to 24 hours</t>
        </is>
      </c>
      <c r="D35" s="11" t="inlineStr">
        <is>
          <t>High</t>
        </is>
      </c>
      <c r="E35" s="13" t="n">
        <v>4</v>
      </c>
      <c r="F35" s="19" t="n"/>
    </row>
    <row r="36">
      <c r="A36" s="17" t="inlineStr">
        <is>
          <t>TradingStrategy|A few weeks up to several months</t>
        </is>
      </c>
      <c r="B36" s="11" t="inlineStr">
        <is>
          <t>Q5 TradingStrategy</t>
        </is>
      </c>
      <c r="C36" s="11" t="inlineStr">
        <is>
          <t>A few weeks up to several months</t>
        </is>
      </c>
      <c r="D36" s="11" t="inlineStr">
        <is>
          <t>MediumHigh</t>
        </is>
      </c>
      <c r="E36" s="13" t="n">
        <v>3</v>
      </c>
      <c r="F36" s="19" t="n"/>
    </row>
    <row r="37">
      <c r="A37" s="17" t="inlineStr">
        <is>
          <t>TradingStrategy|More than several months / years</t>
        </is>
      </c>
      <c r="B37" s="11" t="inlineStr">
        <is>
          <t>Q5 TradingStrategy</t>
        </is>
      </c>
      <c r="C37" s="11" t="inlineStr">
        <is>
          <t>More than several months / years</t>
        </is>
      </c>
      <c r="D37" s="11" t="inlineStr">
        <is>
          <t>Medium</t>
        </is>
      </c>
      <c r="E37" s="13" t="n">
        <v>2</v>
      </c>
      <c r="F37" s="19" t="n"/>
    </row>
    <row r="38">
      <c r="A38" s="17" t="inlineStr">
        <is>
          <t>TradingPurpose|Short-term returns</t>
        </is>
      </c>
      <c r="B38" s="11" t="inlineStr">
        <is>
          <t>Q8 TradingPurpose</t>
        </is>
      </c>
      <c r="C38" s="11" t="inlineStr">
        <is>
          <t>Short-term returns</t>
        </is>
      </c>
      <c r="D38" s="11" t="inlineStr">
        <is>
          <t>High</t>
        </is>
      </c>
      <c r="E38" s="13" t="n">
        <v>4</v>
      </c>
      <c r="F38" s="19" t="n"/>
    </row>
    <row r="39">
      <c r="A39" s="17" t="inlineStr">
        <is>
          <t>TradingPurpose|Additional revenues</t>
        </is>
      </c>
      <c r="B39" s="11" t="inlineStr">
        <is>
          <t>Q8 TradingPurpose</t>
        </is>
      </c>
      <c r="C39" s="11" t="inlineStr">
        <is>
          <t>Additional revenues</t>
        </is>
      </c>
      <c r="D39" s="11" t="inlineStr">
        <is>
          <t>MediumHigh</t>
        </is>
      </c>
      <c r="E39" s="13" t="n">
        <v>3</v>
      </c>
      <c r="F39" s="19" t="n"/>
    </row>
    <row r="40">
      <c r="A40" s="17" t="inlineStr">
        <is>
          <t>TradingPurpose|Future planning</t>
        </is>
      </c>
      <c r="B40" s="11" t="inlineStr">
        <is>
          <t>Q8 TradingPurpose</t>
        </is>
      </c>
      <c r="C40" s="11" t="inlineStr">
        <is>
          <t>Future planning</t>
        </is>
      </c>
      <c r="D40" s="11" t="inlineStr">
        <is>
          <t>Medium</t>
        </is>
      </c>
      <c r="E40" s="13" t="n">
        <v>2</v>
      </c>
      <c r="F40" s="19" t="n"/>
    </row>
    <row r="41">
      <c r="A41" s="17" t="inlineStr">
        <is>
          <t>TradingPurpose|Saving for a home</t>
        </is>
      </c>
      <c r="B41" s="11" t="inlineStr">
        <is>
          <t>Q8 TradingPurpose</t>
        </is>
      </c>
      <c r="C41" s="11" t="inlineStr">
        <is>
          <t>Saving for a home</t>
        </is>
      </c>
      <c r="D41" s="11" t="inlineStr">
        <is>
          <t>Medium</t>
        </is>
      </c>
      <c r="E41" s="13" t="n">
        <v>2</v>
      </c>
      <c r="F41" s="19" t="n"/>
    </row>
    <row r="42">
      <c r="A42" s="17" t="inlineStr">
        <is>
          <t>TradingPurpose|Converting crypto to fiat</t>
        </is>
      </c>
      <c r="B42" s="11" t="inlineStr">
        <is>
          <t>Q8 TradingPurpose</t>
        </is>
      </c>
      <c r="C42" s="11" t="inlineStr">
        <is>
          <t>Converting crypto to fiat</t>
        </is>
      </c>
      <c r="D42" s="11" t="inlineStr">
        <is>
          <t>High</t>
        </is>
      </c>
      <c r="E42" s="13" t="n">
        <v>4</v>
      </c>
      <c r="F42" s="19" t="n"/>
    </row>
    <row r="43">
      <c r="A43" s="17" t="inlineStr">
        <is>
          <t>TradingPurpose|Trading</t>
        </is>
      </c>
      <c r="B43" s="11" t="inlineStr">
        <is>
          <t>Q8 TradingPurpose</t>
        </is>
      </c>
      <c r="C43" s="11" t="inlineStr">
        <is>
          <t>Trading</t>
        </is>
      </c>
      <c r="D43" s="11" t="inlineStr">
        <is>
          <t>Medium</t>
        </is>
      </c>
      <c r="E43" s="13" t="n">
        <v>2</v>
      </c>
      <c r="F43" s="19" t="n"/>
    </row>
    <row r="44">
      <c r="A44" s="17" t="inlineStr">
        <is>
          <t>TradingPurpose|Investments</t>
        </is>
      </c>
      <c r="B44" s="11" t="inlineStr">
        <is>
          <t>Q8 TradingPurpose</t>
        </is>
      </c>
      <c r="C44" s="11" t="inlineStr">
        <is>
          <t>Investments</t>
        </is>
      </c>
      <c r="D44" s="11" t="inlineStr">
        <is>
          <t>Low</t>
        </is>
      </c>
      <c r="E44" s="13" t="n">
        <v>1</v>
      </c>
      <c r="F44" s="19" t="n"/>
    </row>
    <row r="45">
      <c r="A45" s="17" t="inlineStr">
        <is>
          <t>TradingPurpose|Crypto trading and/or conversion</t>
        </is>
      </c>
      <c r="B45" s="11" t="inlineStr">
        <is>
          <t>Q8 TradingPurpose</t>
        </is>
      </c>
      <c r="C45" s="11" t="inlineStr">
        <is>
          <t>Crypto trading and/or conversion</t>
        </is>
      </c>
      <c r="D45" s="11" t="inlineStr">
        <is>
          <t>Medium</t>
        </is>
      </c>
      <c r="E45" s="13" t="n">
        <v>2</v>
      </c>
      <c r="F45" s="19" t="n"/>
    </row>
    <row r="46">
      <c r="A46" s="17" t="inlineStr">
        <is>
          <t>RiskAppetite|5% / -3%</t>
        </is>
      </c>
      <c r="B46" s="11" t="inlineStr">
        <is>
          <t>Q9 RiskAppetite</t>
        </is>
      </c>
      <c r="C46" s="11" t="inlineStr">
        <is>
          <t>5% / -3%</t>
        </is>
      </c>
      <c r="D46" s="11" t="inlineStr">
        <is>
          <t>Low</t>
        </is>
      </c>
      <c r="E46" s="13" t="n">
        <v>1</v>
      </c>
      <c r="F46" s="19" t="n"/>
    </row>
    <row r="47">
      <c r="A47" s="17" t="inlineStr">
        <is>
          <t>RiskAppetite|10% / -6%</t>
        </is>
      </c>
      <c r="B47" s="11" t="inlineStr">
        <is>
          <t>Q9 RiskAppetite</t>
        </is>
      </c>
      <c r="C47" s="11" t="inlineStr">
        <is>
          <t>10% / -6%</t>
        </is>
      </c>
      <c r="D47" s="11" t="inlineStr">
        <is>
          <t>Medium</t>
        </is>
      </c>
      <c r="E47" s="13" t="n">
        <v>2</v>
      </c>
      <c r="F47" s="19" t="n"/>
    </row>
    <row r="48">
      <c r="A48" s="17" t="inlineStr">
        <is>
          <t>RiskAppetite|20% / -12%</t>
        </is>
      </c>
      <c r="B48" s="11" t="inlineStr">
        <is>
          <t>Q9 RiskAppetite</t>
        </is>
      </c>
      <c r="C48" s="11" t="inlineStr">
        <is>
          <t>20% / -12%</t>
        </is>
      </c>
      <c r="D48" s="11" t="inlineStr">
        <is>
          <t>MediumHigh</t>
        </is>
      </c>
      <c r="E48" s="13" t="n">
        <v>3</v>
      </c>
      <c r="F48" s="19" t="n"/>
    </row>
    <row r="49">
      <c r="A49" s="17" t="inlineStr">
        <is>
          <t>RiskAppetite|40% / -24%</t>
        </is>
      </c>
      <c r="B49" s="11" t="inlineStr">
        <is>
          <t>Q9 RiskAppetite</t>
        </is>
      </c>
      <c r="C49" s="11" t="inlineStr">
        <is>
          <t>40% / -24%</t>
        </is>
      </c>
      <c r="D49" s="11" t="inlineStr">
        <is>
          <t>High</t>
        </is>
      </c>
      <c r="E49" s="13" t="n">
        <v>4</v>
      </c>
      <c r="F49" s="19" t="n"/>
    </row>
    <row r="50">
      <c r="A50" s="17" t="inlineStr">
        <is>
          <t>RiskAppetite|80% / -48%</t>
        </is>
      </c>
      <c r="B50" s="11" t="inlineStr">
        <is>
          <t>Q9 RiskAppetite</t>
        </is>
      </c>
      <c r="C50" s="11" t="inlineStr">
        <is>
          <t>80% / -48%</t>
        </is>
      </c>
      <c r="D50" s="11" t="inlineStr">
        <is>
          <t>High</t>
        </is>
      </c>
      <c r="E50" s="13" t="n">
        <v>4</v>
      </c>
      <c r="F50" s="19" t="n"/>
    </row>
    <row r="51">
      <c r="A51" s="17" t="inlineStr">
        <is>
          <t>IncomeSource|Salary</t>
        </is>
      </c>
      <c r="B51" s="11" t="inlineStr">
        <is>
          <t>Q15 IncomeSource</t>
        </is>
      </c>
      <c r="C51" s="11" t="inlineStr">
        <is>
          <t>Salary</t>
        </is>
      </c>
      <c r="D51" s="11" t="inlineStr">
        <is>
          <t>High</t>
        </is>
      </c>
      <c r="E51" s="13" t="n">
        <v>4</v>
      </c>
      <c r="F51" s="19" t="n"/>
    </row>
    <row r="52">
      <c r="A52" s="17" t="inlineStr">
        <is>
          <t>IncomeSource|Employment</t>
        </is>
      </c>
      <c r="B52" s="11" t="inlineStr">
        <is>
          <t>Q15 IncomeSource</t>
        </is>
      </c>
      <c r="C52" s="11" t="inlineStr">
        <is>
          <t>Employment</t>
        </is>
      </c>
      <c r="D52" s="11" t="inlineStr">
        <is>
          <t>High</t>
        </is>
      </c>
      <c r="E52" s="13" t="n">
        <v>4</v>
      </c>
      <c r="F52" s="19" t="n"/>
    </row>
    <row r="53">
      <c r="A53" s="17" t="inlineStr">
        <is>
          <t>IncomeSource|Investments</t>
        </is>
      </c>
      <c r="B53" s="11" t="inlineStr">
        <is>
          <t>Q15 IncomeSource</t>
        </is>
      </c>
      <c r="C53" s="11" t="inlineStr">
        <is>
          <t>Investments</t>
        </is>
      </c>
      <c r="D53" s="11" t="inlineStr">
        <is>
          <t>High</t>
        </is>
      </c>
      <c r="E53" s="13" t="n">
        <v>4</v>
      </c>
      <c r="F53" s="19" t="n"/>
    </row>
    <row r="54">
      <c r="A54" s="17" t="inlineStr">
        <is>
          <t>IncomeSource|Savings</t>
        </is>
      </c>
      <c r="B54" s="11" t="inlineStr">
        <is>
          <t>Q15 IncomeSource</t>
        </is>
      </c>
      <c r="C54" s="11" t="inlineStr">
        <is>
          <t>Savings</t>
        </is>
      </c>
      <c r="D54" s="11" t="inlineStr">
        <is>
          <t>High</t>
        </is>
      </c>
      <c r="E54" s="13" t="n">
        <v>4</v>
      </c>
      <c r="F54" s="19" t="n"/>
    </row>
    <row r="55">
      <c r="A55" s="17" t="inlineStr">
        <is>
          <t>IncomeSource|Business activities</t>
        </is>
      </c>
      <c r="B55" s="11" t="inlineStr">
        <is>
          <t>Q15 IncomeSource</t>
        </is>
      </c>
      <c r="C55" s="11" t="inlineStr">
        <is>
          <t>Business activities</t>
        </is>
      </c>
      <c r="D55" s="11" t="inlineStr">
        <is>
          <t>High</t>
        </is>
      </c>
      <c r="E55" s="13" t="n">
        <v>4</v>
      </c>
      <c r="F55" s="19" t="n"/>
    </row>
    <row r="56">
      <c r="A56" s="17" t="inlineStr">
        <is>
          <t>IncomeSource|Crypto-related gains</t>
        </is>
      </c>
      <c r="B56" s="11" t="inlineStr">
        <is>
          <t>Q15 IncomeSource</t>
        </is>
      </c>
      <c r="C56" s="11" t="inlineStr">
        <is>
          <t>Crypto-related gains</t>
        </is>
      </c>
      <c r="D56" s="11" t="inlineStr">
        <is>
          <t>High</t>
        </is>
      </c>
      <c r="E56" s="13" t="n">
        <v>4</v>
      </c>
      <c r="F56" s="19" t="n"/>
    </row>
    <row r="57">
      <c r="A57" s="17" t="inlineStr">
        <is>
          <t>IncomeSource|Inheritance</t>
        </is>
      </c>
      <c r="B57" s="11" t="inlineStr">
        <is>
          <t>Q15 IncomeSource</t>
        </is>
      </c>
      <c r="C57" s="11" t="inlineStr">
        <is>
          <t>Inheritance</t>
        </is>
      </c>
      <c r="D57" s="11" t="inlineStr">
        <is>
          <t>MediumHigh</t>
        </is>
      </c>
      <c r="E57" s="13" t="n">
        <v>3</v>
      </c>
      <c r="F57" s="19" t="n"/>
    </row>
    <row r="58">
      <c r="A58" s="17" t="inlineStr">
        <is>
          <t>IncomeSource|Family financial support</t>
        </is>
      </c>
      <c r="B58" s="11" t="inlineStr">
        <is>
          <t>Q15 IncomeSource</t>
        </is>
      </c>
      <c r="C58" s="11" t="inlineStr">
        <is>
          <t>Family financial support</t>
        </is>
      </c>
      <c r="D58" s="11" t="inlineStr">
        <is>
          <t>Medium</t>
        </is>
      </c>
      <c r="E58" s="13" t="n">
        <v>2</v>
      </c>
      <c r="F58" s="19" t="n"/>
    </row>
    <row r="59">
      <c r="A59" s="17" t="inlineStr">
        <is>
          <t>IncomeSource|Other</t>
        </is>
      </c>
      <c r="B59" s="11" t="inlineStr">
        <is>
          <t>Q15 IncomeSource</t>
        </is>
      </c>
      <c r="C59" s="11" t="inlineStr">
        <is>
          <t>Other</t>
        </is>
      </c>
      <c r="D59" s="11" t="inlineStr">
        <is>
          <t>Medium</t>
        </is>
      </c>
      <c r="E59" s="13" t="n">
        <v>2</v>
      </c>
      <c r="F59" s="19" t="n"/>
    </row>
    <row r="60">
      <c r="A60" s="17" t="inlineStr">
        <is>
          <t>IncomeSource|Pension</t>
        </is>
      </c>
      <c r="B60" s="11" t="inlineStr">
        <is>
          <t>Q15 IncomeSource</t>
        </is>
      </c>
      <c r="C60" s="11" t="inlineStr">
        <is>
          <t>Pension</t>
        </is>
      </c>
      <c r="D60" s="11" t="inlineStr">
        <is>
          <t>Low</t>
        </is>
      </c>
      <c r="E60" s="13" t="n">
        <v>1</v>
      </c>
      <c r="F60" s="19" t="n"/>
    </row>
    <row r="61">
      <c r="A61" s="17" t="inlineStr">
        <is>
          <t>IncomeSource|Social security</t>
        </is>
      </c>
      <c r="B61" s="11" t="inlineStr">
        <is>
          <t>Q15 IncomeSource</t>
        </is>
      </c>
      <c r="C61" s="11" t="inlineStr">
        <is>
          <t>Social security</t>
        </is>
      </c>
      <c r="D61" s="11" t="inlineStr">
        <is>
          <t>Low</t>
        </is>
      </c>
      <c r="E61" s="13" t="n">
        <v>1</v>
      </c>
      <c r="F61" s="19" t="n"/>
    </row>
    <row r="62">
      <c r="A62" s="17" t="inlineStr">
        <is>
          <t>IncomeSource|Severance</t>
        </is>
      </c>
      <c r="B62" s="11" t="inlineStr">
        <is>
          <t>Q15 IncomeSource</t>
        </is>
      </c>
      <c r="C62" s="11" t="inlineStr">
        <is>
          <t>Severance</t>
        </is>
      </c>
      <c r="D62" s="11" t="inlineStr">
        <is>
          <t>Low</t>
        </is>
      </c>
      <c r="E62" s="13" t="n">
        <v>1</v>
      </c>
      <c r="F62" s="19" t="n"/>
    </row>
    <row r="63">
      <c r="A63" s="17" t="inlineStr">
        <is>
          <t>AnnualIncome|Up to $10K</t>
        </is>
      </c>
      <c r="B63" s="11" t="inlineStr">
        <is>
          <t>Q10 AnnualIncome</t>
        </is>
      </c>
      <c r="C63" s="11" t="inlineStr">
        <is>
          <t>Up to $10K</t>
        </is>
      </c>
      <c r="D63" s="10" t="inlineStr">
        <is>
          <t>not scored</t>
        </is>
      </c>
      <c r="E63" s="13" t="n">
        <v>1</v>
      </c>
      <c r="F63" s="10" t="inlineStr">
        <is>
          <t>band rank; hard block needs rank &lt;= 3</t>
        </is>
      </c>
    </row>
    <row r="64">
      <c r="A64" s="17" t="inlineStr">
        <is>
          <t>AnnualIncome|$10K - $50K</t>
        </is>
      </c>
      <c r="B64" s="11" t="inlineStr">
        <is>
          <t>Q10 AnnualIncome</t>
        </is>
      </c>
      <c r="C64" s="11" t="inlineStr">
        <is>
          <t>$10K - $50K</t>
        </is>
      </c>
      <c r="D64" s="10" t="inlineStr">
        <is>
          <t>not scored</t>
        </is>
      </c>
      <c r="E64" s="13" t="n">
        <v>2</v>
      </c>
      <c r="F64" s="10" t="inlineStr">
        <is>
          <t>band rank; hard block needs rank &lt;= 3</t>
        </is>
      </c>
    </row>
    <row r="65">
      <c r="A65" s="17" t="inlineStr">
        <is>
          <t>AnnualIncome|$50K - $200K</t>
        </is>
      </c>
      <c r="B65" s="11" t="inlineStr">
        <is>
          <t>Q10 AnnualIncome</t>
        </is>
      </c>
      <c r="C65" s="11" t="inlineStr">
        <is>
          <t>$50K - $200K</t>
        </is>
      </c>
      <c r="D65" s="10" t="inlineStr">
        <is>
          <t>not scored</t>
        </is>
      </c>
      <c r="E65" s="13" t="n">
        <v>3</v>
      </c>
      <c r="F65" s="10" t="inlineStr">
        <is>
          <t>band rank; hard block needs rank &lt;= 3</t>
        </is>
      </c>
    </row>
    <row r="66">
      <c r="A66" s="17" t="inlineStr">
        <is>
          <t>AnnualIncome|$200K - $500K</t>
        </is>
      </c>
      <c r="B66" s="11" t="inlineStr">
        <is>
          <t>Q10 AnnualIncome</t>
        </is>
      </c>
      <c r="C66" s="11" t="inlineStr">
        <is>
          <t>$200K - $500K</t>
        </is>
      </c>
      <c r="D66" s="10" t="inlineStr">
        <is>
          <t>not scored</t>
        </is>
      </c>
      <c r="E66" s="13" t="n">
        <v>4</v>
      </c>
      <c r="F66" s="10" t="inlineStr">
        <is>
          <t>band rank; hard block needs rank &lt;= 3</t>
        </is>
      </c>
    </row>
    <row r="67">
      <c r="A67" s="17" t="inlineStr">
        <is>
          <t>AnnualIncome|$500K - $1M</t>
        </is>
      </c>
      <c r="B67" s="11" t="inlineStr">
        <is>
          <t>Q10 AnnualIncome</t>
        </is>
      </c>
      <c r="C67" s="11" t="inlineStr">
        <is>
          <t>$500K - $1M</t>
        </is>
      </c>
      <c r="D67" s="10" t="inlineStr">
        <is>
          <t>not scored</t>
        </is>
      </c>
      <c r="E67" s="13" t="n">
        <v>5</v>
      </c>
      <c r="F67" s="10" t="inlineStr">
        <is>
          <t>band rank; hard block needs rank &lt;= 3</t>
        </is>
      </c>
    </row>
    <row r="68">
      <c r="A68" s="17" t="inlineStr">
        <is>
          <t>AnnualIncome|$1M - $5M</t>
        </is>
      </c>
      <c r="B68" s="11" t="inlineStr">
        <is>
          <t>Q10 AnnualIncome</t>
        </is>
      </c>
      <c r="C68" s="11" t="inlineStr">
        <is>
          <t>$1M - $5M</t>
        </is>
      </c>
      <c r="D68" s="10" t="inlineStr">
        <is>
          <t>not scored</t>
        </is>
      </c>
      <c r="E68" s="13" t="n">
        <v>6</v>
      </c>
      <c r="F68" s="10" t="inlineStr">
        <is>
          <t>band rank; hard block needs rank &lt;= 3</t>
        </is>
      </c>
    </row>
    <row r="69">
      <c r="A69" s="17" t="inlineStr">
        <is>
          <t>LiquidAssets|Up to $10K</t>
        </is>
      </c>
      <c r="B69" s="11" t="inlineStr">
        <is>
          <t>Q11 LiquidAssets</t>
        </is>
      </c>
      <c r="C69" s="11" t="inlineStr">
        <is>
          <t>Up to $10K</t>
        </is>
      </c>
      <c r="D69" s="10" t="inlineStr">
        <is>
          <t>not scored</t>
        </is>
      </c>
      <c r="E69" s="13" t="n">
        <v>1</v>
      </c>
      <c r="F69" s="10" t="inlineStr">
        <is>
          <t>band rank; hard block needs rank &lt;= 3</t>
        </is>
      </c>
    </row>
    <row r="70">
      <c r="A70" s="17" t="inlineStr">
        <is>
          <t>LiquidAssets|$10K - $50K</t>
        </is>
      </c>
      <c r="B70" s="11" t="inlineStr">
        <is>
          <t>Q11 LiquidAssets</t>
        </is>
      </c>
      <c r="C70" s="11" t="inlineStr">
        <is>
          <t>$10K - $50K</t>
        </is>
      </c>
      <c r="D70" s="10" t="inlineStr">
        <is>
          <t>not scored</t>
        </is>
      </c>
      <c r="E70" s="13" t="n">
        <v>2</v>
      </c>
      <c r="F70" s="10" t="inlineStr">
        <is>
          <t>band rank; hard block needs rank &lt;= 3</t>
        </is>
      </c>
    </row>
    <row r="71">
      <c r="A71" s="17" t="inlineStr">
        <is>
          <t>LiquidAssets|$50K - $200K</t>
        </is>
      </c>
      <c r="B71" s="11" t="inlineStr">
        <is>
          <t>Q11 LiquidAssets</t>
        </is>
      </c>
      <c r="C71" s="11" t="inlineStr">
        <is>
          <t>$50K - $200K</t>
        </is>
      </c>
      <c r="D71" s="10" t="inlineStr">
        <is>
          <t>not scored</t>
        </is>
      </c>
      <c r="E71" s="13" t="n">
        <v>3</v>
      </c>
      <c r="F71" s="10" t="inlineStr">
        <is>
          <t>band rank; hard block needs rank &lt;= 3</t>
        </is>
      </c>
    </row>
    <row r="72">
      <c r="A72" s="17" t="inlineStr">
        <is>
          <t>LiquidAssets|$200K - $500K</t>
        </is>
      </c>
      <c r="B72" s="11" t="inlineStr">
        <is>
          <t>Q11 LiquidAssets</t>
        </is>
      </c>
      <c r="C72" s="11" t="inlineStr">
        <is>
          <t>$200K - $500K</t>
        </is>
      </c>
      <c r="D72" s="10" t="inlineStr">
        <is>
          <t>not scored</t>
        </is>
      </c>
      <c r="E72" s="13" t="n">
        <v>4</v>
      </c>
      <c r="F72" s="10" t="inlineStr">
        <is>
          <t>band rank; hard block needs rank &lt;= 3</t>
        </is>
      </c>
    </row>
    <row r="73">
      <c r="A73" s="17" t="inlineStr">
        <is>
          <t>LiquidAssets|$500K - $1M</t>
        </is>
      </c>
      <c r="B73" s="11" t="inlineStr">
        <is>
          <t>Q11 LiquidAssets</t>
        </is>
      </c>
      <c r="C73" s="11" t="inlineStr">
        <is>
          <t>$500K - $1M</t>
        </is>
      </c>
      <c r="D73" s="10" t="inlineStr">
        <is>
          <t>not scored</t>
        </is>
      </c>
      <c r="E73" s="13" t="n">
        <v>5</v>
      </c>
      <c r="F73" s="10" t="inlineStr">
        <is>
          <t>band rank; hard block needs rank &lt;= 3</t>
        </is>
      </c>
    </row>
    <row r="74">
      <c r="A74" s="17" t="inlineStr">
        <is>
          <t>LiquidAssets|$1M - $5M</t>
        </is>
      </c>
      <c r="B74" s="11" t="inlineStr">
        <is>
          <t>Q11 LiquidAssets</t>
        </is>
      </c>
      <c r="C74" s="11" t="inlineStr">
        <is>
          <t>$1M - $5M</t>
        </is>
      </c>
      <c r="D74" s="10" t="inlineStr">
        <is>
          <t>not scored</t>
        </is>
      </c>
      <c r="E74" s="13" t="n">
        <v>6</v>
      </c>
      <c r="F74" s="10" t="inlineStr">
        <is>
          <t>band rank; hard block needs rank &lt;= 3</t>
        </is>
      </c>
    </row>
    <row r="75">
      <c r="A75" s="17" t="inlineStr">
        <is>
          <t>MiCACryptoAssessmentHighVolatility|It can lead to significant gains or losses</t>
        </is>
      </c>
      <c r="B75" s="11" t="inlineStr">
        <is>
          <t>C9 MiCACryptoAssessmentHighVolatility</t>
        </is>
      </c>
      <c r="C75" s="11" t="inlineStr">
        <is>
          <t>It can lead to significant gains or losses</t>
        </is>
      </c>
      <c r="D75" s="11" t="inlineStr">
        <is>
          <t>High</t>
        </is>
      </c>
      <c r="E75" s="13" t="n">
        <v>4</v>
      </c>
      <c r="F75" s="10" t="inlineStr">
        <is>
          <t>CySEC only, from CySEC-20</t>
        </is>
      </c>
    </row>
    <row r="76">
      <c r="A76" s="17" t="inlineStr">
        <is>
          <t>MiCACryptoAssessmentHighVolatility|Crypto makes a stable investment</t>
        </is>
      </c>
      <c r="B76" s="11" t="inlineStr">
        <is>
          <t>C9 MiCACryptoAssessmentHighVolatility</t>
        </is>
      </c>
      <c r="C76" s="11" t="inlineStr">
        <is>
          <t>Crypto makes a stable investment</t>
        </is>
      </c>
      <c r="D76" s="11" t="inlineStr">
        <is>
          <t>Low</t>
        </is>
      </c>
      <c r="E76" s="13" t="n">
        <v>1</v>
      </c>
      <c r="F76" s="10" t="inlineStr">
        <is>
          <t>CySEC only, from CySEC-20</t>
        </is>
      </c>
    </row>
    <row r="77">
      <c r="A77" s="17" t="inlineStr">
        <is>
          <t>MiCACryptoAssessmentHighVolatility|Crypto guarantees long-term profits</t>
        </is>
      </c>
      <c r="B77" s="11" t="inlineStr">
        <is>
          <t>C9 MiCACryptoAssessmentHighVolatility</t>
        </is>
      </c>
      <c r="C77" s="11" t="inlineStr">
        <is>
          <t>Crypto guarantees long-term profits</t>
        </is>
      </c>
      <c r="D77" s="11" t="inlineStr">
        <is>
          <t>Low</t>
        </is>
      </c>
      <c r="E77" s="13" t="n">
        <v>1</v>
      </c>
      <c r="F77" s="10" t="inlineStr">
        <is>
          <t>CySEC only, from CySEC-20</t>
        </is>
      </c>
    </row>
    <row r="78">
      <c r="A78" s="17" t="inlineStr">
        <is>
          <t>MiCACryptoAssessmentCyberRisks|Enabling two-factor authentication</t>
        </is>
      </c>
      <c r="B78" s="11" t="inlineStr">
        <is>
          <t>C9 MiCACryptoAssessmentCyberRisks</t>
        </is>
      </c>
      <c r="C78" s="11" t="inlineStr">
        <is>
          <t>Enabling two-factor authentication</t>
        </is>
      </c>
      <c r="D78" s="11" t="inlineStr">
        <is>
          <t>High</t>
        </is>
      </c>
      <c r="E78" s="13" t="n">
        <v>4</v>
      </c>
      <c r="F78" s="10" t="inlineStr">
        <is>
          <t>CySEC only, from CySEC-20</t>
        </is>
      </c>
    </row>
    <row r="79">
      <c r="A79" s="17" t="inlineStr">
        <is>
          <t>MiCACryptoAssessmentCyberRisks|Using the same password everywhere</t>
        </is>
      </c>
      <c r="B79" s="11" t="inlineStr">
        <is>
          <t>C9 MiCACryptoAssessmentCyberRisks</t>
        </is>
      </c>
      <c r="C79" s="11" t="inlineStr">
        <is>
          <t>Using the same password everywhere</t>
        </is>
      </c>
      <c r="D79" s="11" t="inlineStr">
        <is>
          <t>Low</t>
        </is>
      </c>
      <c r="E79" s="13" t="n">
        <v>1</v>
      </c>
      <c r="F79" s="10" t="inlineStr">
        <is>
          <t>CySEC only, from CySEC-20</t>
        </is>
      </c>
    </row>
    <row r="80">
      <c r="A80" s="17" t="inlineStr">
        <is>
          <t>MiCACryptoAssessmentCyberRisks|Sharing private keys with friends</t>
        </is>
      </c>
      <c r="B80" s="11" t="inlineStr">
        <is>
          <t>C9 MiCACryptoAssessmentCyberRisks</t>
        </is>
      </c>
      <c r="C80" s="11" t="inlineStr">
        <is>
          <t>Sharing private keys with friends</t>
        </is>
      </c>
      <c r="D80" s="11" t="inlineStr">
        <is>
          <t>Low</t>
        </is>
      </c>
      <c r="E80" s="13" t="n">
        <v>1</v>
      </c>
      <c r="F80" s="10" t="inlineStr">
        <is>
          <t>CySEC only, from CySEC-20</t>
        </is>
      </c>
    </row>
    <row r="81">
      <c r="A81" s="17" t="inlineStr">
        <is>
          <t>MiCACryptoAssessmentRecoverLoss|Does not cover the loss</t>
        </is>
      </c>
      <c r="B81" s="11" t="inlineStr">
        <is>
          <t>C9 MiCACryptoAssessmentRecoverLoss</t>
        </is>
      </c>
      <c r="C81" s="11" t="inlineStr">
        <is>
          <t>Does not cover the loss</t>
        </is>
      </c>
      <c r="D81" s="11" t="inlineStr">
        <is>
          <t>High</t>
        </is>
      </c>
      <c r="E81" s="13" t="n">
        <v>4</v>
      </c>
      <c r="F81" s="10" t="inlineStr">
        <is>
          <t>CySEC only, from CySEC-20</t>
        </is>
      </c>
    </row>
    <row r="82">
      <c r="A82" s="17" t="inlineStr">
        <is>
          <t>MiCACryptoAssessmentRecoverLoss|Covers the recovery</t>
        </is>
      </c>
      <c r="B82" s="11" t="inlineStr">
        <is>
          <t>C9 MiCACryptoAssessmentRecoverLoss</t>
        </is>
      </c>
      <c r="C82" s="11" t="inlineStr">
        <is>
          <t>Covers the recovery</t>
        </is>
      </c>
      <c r="D82" s="11" t="inlineStr">
        <is>
          <t>Low</t>
        </is>
      </c>
      <c r="E82" s="13" t="n">
        <v>1</v>
      </c>
      <c r="F82" s="10" t="inlineStr">
        <is>
          <t>CySEC only, from CySEC-20</t>
        </is>
      </c>
    </row>
    <row r="83">
      <c r="A83" s="17" t="inlineStr">
        <is>
          <t>MiCACryptoAssessmentRecoverLoss|Lets you claim from consumer services</t>
        </is>
      </c>
      <c r="B83" s="11" t="inlineStr">
        <is>
          <t>C9 MiCACryptoAssessmentRecoverLoss</t>
        </is>
      </c>
      <c r="C83" s="11" t="inlineStr">
        <is>
          <t>Lets you claim from consumer services</t>
        </is>
      </c>
      <c r="D83" s="11" t="inlineStr">
        <is>
          <t>Low</t>
        </is>
      </c>
      <c r="E83" s="13" t="n">
        <v>1</v>
      </c>
      <c r="F83" s="10" t="inlineStr">
        <is>
          <t>CySEC only, from CySEC-20</t>
        </is>
      </c>
    </row>
    <row r="84">
      <c r="A84" s="17" t="inlineStr">
        <is>
          <t>MiCACryptoAssessmentInvestingRisks|You risk losing your whole investment</t>
        </is>
      </c>
      <c r="B84" s="11" t="inlineStr">
        <is>
          <t>C9 MiCACryptoAssessmentInvestingRisks</t>
        </is>
      </c>
      <c r="C84" s="11" t="inlineStr">
        <is>
          <t>You risk losing your whole investment</t>
        </is>
      </c>
      <c r="D84" s="11" t="inlineStr">
        <is>
          <t>High</t>
        </is>
      </c>
      <c r="E84" s="13" t="n">
        <v>4</v>
      </c>
      <c r="F84" s="10" t="inlineStr">
        <is>
          <t>CySEC only, from CySEC-20</t>
        </is>
      </c>
    </row>
    <row r="85">
      <c r="A85" s="17" t="inlineStr">
        <is>
          <t>MiCACryptoAssessmentInvestingRisks|Minimal</t>
        </is>
      </c>
      <c r="B85" s="11" t="inlineStr">
        <is>
          <t>C9 MiCACryptoAssessmentInvestingRisks</t>
        </is>
      </c>
      <c r="C85" s="11" t="inlineStr">
        <is>
          <t>Minimal</t>
        </is>
      </c>
      <c r="D85" s="11" t="inlineStr">
        <is>
          <t>Low</t>
        </is>
      </c>
      <c r="E85" s="13" t="n">
        <v>1</v>
      </c>
      <c r="F85" s="10" t="inlineStr">
        <is>
          <t>CySEC only, from CySEC-20</t>
        </is>
      </c>
    </row>
    <row r="86">
      <c r="A86" s="17" t="inlineStr">
        <is>
          <t>MiCACryptoAssessmentInvestingRisks|Low</t>
        </is>
      </c>
      <c r="B86" s="11" t="inlineStr">
        <is>
          <t>C9 MiCACryptoAssessmentInvestingRisks</t>
        </is>
      </c>
      <c r="C86" s="11" t="inlineStr">
        <is>
          <t>Low</t>
        </is>
      </c>
      <c r="D86" s="11" t="inlineStr">
        <is>
          <t>Low</t>
        </is>
      </c>
      <c r="E86" s="13" t="n">
        <v>1</v>
      </c>
      <c r="F86" s="10" t="inlineStr">
        <is>
          <t>CySEC only, from CySEC-20</t>
        </is>
      </c>
    </row>
    <row r="87">
      <c r="A87" s="17" t="inlineStr">
        <is>
          <t>MiCACryptoAssessmentPrivateKey|A secret code</t>
        </is>
      </c>
      <c r="B87" s="11" t="inlineStr">
        <is>
          <t>C9 MiCACryptoAssessmentPrivateKey</t>
        </is>
      </c>
      <c r="C87" s="11" t="inlineStr">
        <is>
          <t>A secret code</t>
        </is>
      </c>
      <c r="D87" s="11" t="inlineStr">
        <is>
          <t>High</t>
        </is>
      </c>
      <c r="E87" s="13" t="n">
        <v>4</v>
      </c>
      <c r="F87" s="10" t="inlineStr">
        <is>
          <t>CySEC only, from CySEC-20</t>
        </is>
      </c>
    </row>
    <row r="88">
      <c r="A88" s="17" t="inlineStr">
        <is>
          <t>MiCACryptoAssessmentPrivateKey|A shared password</t>
        </is>
      </c>
      <c r="B88" s="11" t="inlineStr">
        <is>
          <t>C9 MiCACryptoAssessmentPrivateKey</t>
        </is>
      </c>
      <c r="C88" s="11" t="inlineStr">
        <is>
          <t>A shared password</t>
        </is>
      </c>
      <c r="D88" s="11" t="inlineStr">
        <is>
          <t>Low</t>
        </is>
      </c>
      <c r="E88" s="13" t="n">
        <v>1</v>
      </c>
      <c r="F88" s="10" t="inlineStr">
        <is>
          <t>CySEC only, from CySEC-20</t>
        </is>
      </c>
    </row>
    <row r="89">
      <c r="A89" s="17" t="inlineStr">
        <is>
          <t>MiCACryptoAssessmentPrivateKey|A public identifier</t>
        </is>
      </c>
      <c r="B89" s="11" t="inlineStr">
        <is>
          <t>C9 MiCACryptoAssessmentPrivateKey</t>
        </is>
      </c>
      <c r="C89" s="11" t="inlineStr">
        <is>
          <t>A public identifier</t>
        </is>
      </c>
      <c r="D89" s="11" t="inlineStr">
        <is>
          <t>Low</t>
        </is>
      </c>
      <c r="E89" s="13" t="n">
        <v>1</v>
      </c>
      <c r="F89" s="10" t="inlineStr">
        <is>
          <t>CySEC only, from CySEC-20</t>
        </is>
      </c>
    </row>
    <row r="92">
      <c r="A92" s="4" t="inlineStr">
        <is>
          <t>Risk level weight -&gt; name and authorised risk score</t>
        </is>
      </c>
    </row>
    <row r="93" ht="22" customHeight="1">
      <c r="A93" s="9" t="inlineStr">
        <is>
          <t>Weight</t>
        </is>
      </c>
      <c r="B93" s="9" t="inlineStr">
        <is>
          <t>Risk level</t>
        </is>
      </c>
      <c r="C93" s="9" t="inlineStr">
        <is>
          <t>AuthorizedRiskScore</t>
        </is>
      </c>
    </row>
    <row r="94">
      <c r="A94" s="13" t="n">
        <v>0</v>
      </c>
      <c r="B94" s="23" t="inlineStr">
        <is>
          <t>Minimal</t>
        </is>
      </c>
      <c r="C94" s="13" t="n">
        <v>3</v>
      </c>
    </row>
    <row r="95">
      <c r="A95" s="13" t="n">
        <v>1</v>
      </c>
      <c r="B95" s="23" t="inlineStr">
        <is>
          <t>Low</t>
        </is>
      </c>
      <c r="C95" s="13" t="n">
        <v>3</v>
      </c>
    </row>
    <row r="96">
      <c r="A96" s="13" t="n">
        <v>2</v>
      </c>
      <c r="B96" s="23" t="inlineStr">
        <is>
          <t>Medium</t>
        </is>
      </c>
      <c r="C96" s="13" t="n">
        <v>6</v>
      </c>
    </row>
    <row r="97">
      <c r="A97" s="13" t="n">
        <v>3</v>
      </c>
      <c r="B97" s="23" t="inlineStr">
        <is>
          <t>MediumHigh</t>
        </is>
      </c>
      <c r="C97" s="13" t="n">
        <v>8</v>
      </c>
    </row>
    <row r="98">
      <c r="A98" s="13" t="n">
        <v>4</v>
      </c>
      <c r="B98" s="23" t="inlineStr">
        <is>
          <t>High</t>
        </is>
      </c>
      <c r="C98" s="13" t="n">
        <v>10</v>
      </c>
    </row>
    <row r="101">
      <c r="A101" s="4" t="inlineStr">
        <is>
          <t>Component 8 - knowledge assessment answer scores</t>
        </is>
      </c>
    </row>
    <row r="102">
      <c r="A102" s="8" t="inlineStr">
        <is>
          <t>Six true/false statements presented as one multi-select. A positive weight marks a statement that is factually true.</t>
        </is>
      </c>
    </row>
    <row r="103" ht="22" customHeight="1">
      <c r="A103" s="9" t="inlineStr">
        <is>
          <t>Answer (config name)</t>
        </is>
      </c>
      <c r="B103" s="9" t="inlineStr">
        <is>
          <t>Answer ID</t>
        </is>
      </c>
      <c r="C103" s="9" t="inlineStr">
        <is>
          <t>Weight</t>
        </is>
      </c>
      <c r="D103" s="9" t="inlineStr">
        <is>
          <t>Statement is</t>
        </is>
      </c>
      <c r="E103" s="9" t="inlineStr">
        <is>
          <t>Statement</t>
        </is>
      </c>
      <c r="F103" s="9" t="n"/>
    </row>
    <row r="104" ht="36" customHeight="1">
      <c r="A104" s="17" t="inlineStr">
        <is>
          <t>NewerLeverage</t>
        </is>
      </c>
      <c r="B104" s="23" t="n">
        <v>142</v>
      </c>
      <c r="C104" s="13" t="n">
        <v>2</v>
      </c>
      <c r="D104" s="23" t="inlineStr">
        <is>
          <t>TRUE</t>
        </is>
      </c>
      <c r="E104" s="16" t="inlineStr">
        <is>
          <t>I deposit and invest $1,000 to open a position with $20,000 (using leverage of 20x). If the market moves 5% against my position, I'll lose my investment</t>
        </is>
      </c>
      <c r="F104" s="19" t="n"/>
    </row>
    <row r="105" ht="36" customHeight="1">
      <c r="A105" s="17" t="inlineStr">
        <is>
          <t>NewerMarginCall</t>
        </is>
      </c>
      <c r="B105" s="23" t="n">
        <v>144</v>
      </c>
      <c r="C105" s="13" t="n">
        <v>2</v>
      </c>
      <c r="D105" s="23" t="inlineStr">
        <is>
          <t>TRUE</t>
        </is>
      </c>
      <c r="E105" s="16" t="inlineStr">
        <is>
          <t>If the total equity (i.e. the combined value of positions and available cash) in my account falls below the required margin, a "margin call" will liquidate my positions</t>
        </is>
      </c>
      <c r="F105" s="19" t="n"/>
    </row>
    <row r="106" ht="24" customHeight="1">
      <c r="A106" s="17" t="inlineStr">
        <is>
          <t>NewerCfd</t>
        </is>
      </c>
      <c r="B106" s="23" t="n">
        <v>143</v>
      </c>
      <c r="C106" s="13" t="n">
        <v>-2</v>
      </c>
      <c r="D106" s="23" t="inlineStr">
        <is>
          <t>FALSE</t>
        </is>
      </c>
      <c r="E106" s="16" t="inlineStr">
        <is>
          <t>If the price of Google's stock rises on NASDAQ, the price of my Google contract for difference (CFD) will go down</t>
        </is>
      </c>
      <c r="F106" s="19" t="n"/>
    </row>
    <row r="107" ht="24" customHeight="1">
      <c r="A107" s="17" t="inlineStr">
        <is>
          <t>NewerStopLossTrigger</t>
        </is>
      </c>
      <c r="B107" s="23" t="n">
        <v>145</v>
      </c>
      <c r="C107" s="13" t="n">
        <v>-2</v>
      </c>
      <c r="D107" s="23" t="inlineStr">
        <is>
          <t>FALSE</t>
        </is>
      </c>
      <c r="E107" s="16" t="inlineStr">
        <is>
          <t>My open positions will remain open even when a stop loss is triggered</t>
        </is>
      </c>
      <c r="F107" s="19" t="n"/>
    </row>
    <row r="108" ht="24" customHeight="1">
      <c r="A108" s="17" t="inlineStr">
        <is>
          <t>NewerStopLossGapThrough</t>
        </is>
      </c>
      <c r="B108" s="23" t="n">
        <v>146</v>
      </c>
      <c r="C108" s="13" t="n">
        <v>-2</v>
      </c>
      <c r="D108" s="23" t="inlineStr">
        <is>
          <t>FALSE</t>
        </is>
      </c>
      <c r="E108" s="16" t="inlineStr">
        <is>
          <t>If the market gaps through my stop loss, my position will close at the exact stop loss level</t>
        </is>
      </c>
      <c r="F108" s="19" t="n"/>
    </row>
    <row r="109" ht="36" customHeight="1">
      <c r="A109" s="17" t="inlineStr">
        <is>
          <t>NewerCfdTrs</t>
        </is>
      </c>
      <c r="B109" s="23" t="n">
        <v>212</v>
      </c>
      <c r="C109" s="13" t="n">
        <v>-2</v>
      </c>
      <c r="D109" s="23" t="inlineStr">
        <is>
          <t>FALSE</t>
        </is>
      </c>
      <c r="E109" s="16" t="inlineStr">
        <is>
          <t>I will be able to sell my OTC complex products (CFD, TRS) outside of eToro platform    [RETIRED - scored but no longer asked, so always contributes +2]</t>
        </is>
      </c>
      <c r="F109" s="19" t="n"/>
    </row>
    <row r="111">
      <c r="A111" s="4" t="inlineStr">
        <is>
          <t>Total score -&gt; risk level (LOOKUP needs ascending thresholds)</t>
        </is>
      </c>
    </row>
    <row r="112" ht="22" customHeight="1">
      <c r="A112" s="9" t="inlineStr">
        <is>
          <t>Min total score</t>
        </is>
      </c>
      <c r="B112" s="9" t="inlineStr">
        <is>
          <t>Weight</t>
        </is>
      </c>
      <c r="C112" s="9" t="inlineStr">
        <is>
          <t>Risk level</t>
        </is>
      </c>
    </row>
    <row r="113">
      <c r="A113" s="13" t="n">
        <v>-100</v>
      </c>
      <c r="B113" s="23" t="n">
        <v>1</v>
      </c>
      <c r="C113" s="23" t="inlineStr">
        <is>
          <t>Low</t>
        </is>
      </c>
    </row>
    <row r="114">
      <c r="A114" s="13" t="n">
        <v>-6</v>
      </c>
      <c r="B114" s="23" t="n">
        <v>2</v>
      </c>
      <c r="C114" s="23" t="inlineStr">
        <is>
          <t>Medium</t>
        </is>
      </c>
    </row>
    <row r="115">
      <c r="A115" s="13" t="n">
        <v>2</v>
      </c>
      <c r="B115" s="23" t="n">
        <v>3</v>
      </c>
      <c r="C115" s="23" t="inlineStr">
        <is>
          <t>MediumHigh</t>
        </is>
      </c>
    </row>
    <row r="116">
      <c r="A116" s="13" t="n">
        <v>6</v>
      </c>
      <c r="B116" s="23" t="n">
        <v>4</v>
      </c>
      <c r="C116" s="23" t="inlineStr">
        <is>
          <t>High</t>
        </is>
      </c>
    </row>
    <row r="118">
      <c r="A118" s="14" t="inlineStr">
        <is>
          <t>The config gives a weight per answer and never says how an answer the user did NOT tick is treated. The service does: WeightQuestionAnswerCalculator.GetScoreByAnswerIds adds the weight for a ticked answer and subtracts it for an unticked one, so the total runs -12 to +12 and every band is reachable. Confirmed against the calculator's own 14 test vectors. If the user ticks nothing the group is skipped and component 8 falls back to Medium.</t>
        </is>
      </c>
    </row>
    <row r="119"/>
    <row r="120"/>
    <row r="123">
      <c r="A123" s="4" t="inlineStr">
        <is>
          <t>Financial band midpoints (ongoing monitoring)</t>
        </is>
      </c>
    </row>
    <row r="124" ht="22" customHeight="1">
      <c r="A124" s="9" t="inlineStr">
        <is>
          <t>Band</t>
        </is>
      </c>
      <c r="B124" s="9" t="inlineStr">
        <is>
          <t>Income / assets midpoint</t>
        </is>
      </c>
      <c r="C124" s="9" t="inlineStr">
        <is>
          <t>Planned-investment band</t>
        </is>
      </c>
      <c r="D124" s="9" t="inlineStr">
        <is>
          <t>Planned midpoint</t>
        </is>
      </c>
    </row>
    <row r="125">
      <c r="A125" s="11" t="inlineStr">
        <is>
          <t>Up to $10K</t>
        </is>
      </c>
      <c r="B125" s="38" t="n">
        <v>5000</v>
      </c>
      <c r="C125" s="11" t="inlineStr">
        <is>
          <t>Up to $20K</t>
        </is>
      </c>
      <c r="D125" s="38" t="n">
        <v>10000</v>
      </c>
    </row>
    <row r="126">
      <c r="A126" s="11" t="inlineStr">
        <is>
          <t>$10K - $50K</t>
        </is>
      </c>
      <c r="B126" s="38" t="n">
        <v>30000</v>
      </c>
      <c r="C126" s="11" t="inlineStr">
        <is>
          <t>$20K - $50K</t>
        </is>
      </c>
      <c r="D126" s="38" t="n">
        <v>35000</v>
      </c>
    </row>
    <row r="127">
      <c r="A127" s="11" t="inlineStr">
        <is>
          <t>$50K - $200K</t>
        </is>
      </c>
      <c r="B127" s="38" t="n">
        <v>125000</v>
      </c>
      <c r="C127" s="11" t="inlineStr">
        <is>
          <t>$50K - $200K</t>
        </is>
      </c>
      <c r="D127" s="38" t="n">
        <v>125000</v>
      </c>
    </row>
    <row r="128">
      <c r="A128" s="11" t="inlineStr">
        <is>
          <t>$200K - $500K</t>
        </is>
      </c>
      <c r="B128" s="38" t="n">
        <v>350000</v>
      </c>
      <c r="C128" s="11" t="inlineStr">
        <is>
          <t>$200K - $500K</t>
        </is>
      </c>
      <c r="D128" s="38" t="n">
        <v>350000</v>
      </c>
    </row>
    <row r="129">
      <c r="A129" s="11" t="inlineStr">
        <is>
          <t>$500K - $1M</t>
        </is>
      </c>
      <c r="B129" s="38" t="n">
        <v>750000</v>
      </c>
      <c r="C129" s="11" t="inlineStr">
        <is>
          <t>$500K - $1M</t>
        </is>
      </c>
      <c r="D129" s="38" t="n">
        <v>750000</v>
      </c>
    </row>
    <row r="130">
      <c r="A130" s="11" t="inlineStr">
        <is>
          <t>$1M - $5M</t>
        </is>
      </c>
      <c r="B130" s="38" t="n">
        <v>3000000</v>
      </c>
      <c r="C130" s="11" t="inlineStr">
        <is>
          <t>Above $1M</t>
        </is>
      </c>
      <c r="D130" s="38" t="n">
        <v>1000000</v>
      </c>
    </row>
  </sheetData>
  <mergeCells count="9">
    <mergeCell ref="A2:F2"/>
    <mergeCell ref="E105:F105"/>
    <mergeCell ref="E107:F107"/>
    <mergeCell ref="E108:F108"/>
    <mergeCell ref="E106:F106"/>
    <mergeCell ref="A102:F102"/>
    <mergeCell ref="E104:F104"/>
    <mergeCell ref="A118:F120"/>
    <mergeCell ref="E109:F10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6" customWidth="1" min="3" max="3"/>
    <col width="34" customWidth="1" min="4" max="4"/>
    <col width="16" customWidth="1" min="5" max="5"/>
    <col width="14" customWidth="1" min="6" max="6"/>
  </cols>
  <sheetData>
    <row r="1">
      <c r="A1" s="7" t="inlineStr">
        <is>
          <t>Question bank</t>
        </is>
      </c>
    </row>
    <row r="2">
      <c r="A2" s="8" t="inlineStr">
        <is>
          <t>Question and answer IDs are confirmed against the KycQuestion and KycAnswer enums in the KycAnalyzer contract package - the mapping the service itself compiles against.</t>
        </is>
      </c>
    </row>
    <row r="4" ht="22" customHeight="1">
      <c r="A4" s="9" t="inlineStr">
        <is>
          <t>Q</t>
        </is>
      </c>
      <c r="B4" s="9" t="inlineStr">
        <is>
          <t>Config name</t>
        </is>
      </c>
      <c r="C4" s="9" t="inlineStr">
        <is>
          <t>Question</t>
        </is>
      </c>
      <c r="D4" s="9" t="inlineStr">
        <is>
          <t>Answer</t>
        </is>
      </c>
      <c r="E4" s="9" t="inlineStr">
        <is>
          <t>Risk level</t>
        </is>
      </c>
      <c r="F4" s="9" t="inlineStr">
        <is>
          <t>Weight</t>
        </is>
      </c>
    </row>
    <row r="5">
      <c r="A5" s="10" t="inlineStr">
        <is>
          <t>Q33</t>
        </is>
      </c>
      <c r="B5" s="17" t="inlineStr">
        <is>
          <t>Equities</t>
        </is>
      </c>
      <c r="C5" s="11" t="inlineStr">
        <is>
          <t>How often have you traded stocks?</t>
        </is>
      </c>
      <c r="D5" s="11" t="inlineStr">
        <is>
          <t>Never traded</t>
        </is>
      </c>
      <c r="E5" s="11" t="inlineStr">
        <is>
          <t>Medium</t>
        </is>
      </c>
      <c r="F5" s="13" t="n">
        <v>2</v>
      </c>
    </row>
    <row r="6">
      <c r="A6" s="10" t="inlineStr">
        <is>
          <t>Q33</t>
        </is>
      </c>
      <c r="B6" s="17" t="inlineStr">
        <is>
          <t>Equities</t>
        </is>
      </c>
      <c r="C6" s="11" t="inlineStr">
        <is>
          <t>How often have you traded stocks?</t>
        </is>
      </c>
      <c r="D6" s="11" t="inlineStr">
        <is>
          <t>0-10 times</t>
        </is>
      </c>
      <c r="E6" s="11" t="inlineStr">
        <is>
          <t>Medium</t>
        </is>
      </c>
      <c r="F6" s="13" t="n">
        <v>2</v>
      </c>
    </row>
    <row r="7">
      <c r="A7" s="10" t="inlineStr">
        <is>
          <t>Q33</t>
        </is>
      </c>
      <c r="B7" s="17" t="inlineStr">
        <is>
          <t>Equities</t>
        </is>
      </c>
      <c r="C7" s="11" t="inlineStr">
        <is>
          <t>How often have you traded stocks?</t>
        </is>
      </c>
      <c r="D7" s="11" t="inlineStr">
        <is>
          <t>10-20 times</t>
        </is>
      </c>
      <c r="E7" s="11" t="inlineStr">
        <is>
          <t>MediumHigh</t>
        </is>
      </c>
      <c r="F7" s="13" t="n">
        <v>3</v>
      </c>
    </row>
    <row r="8">
      <c r="A8" s="10" t="inlineStr">
        <is>
          <t>Q33</t>
        </is>
      </c>
      <c r="B8" s="17" t="inlineStr">
        <is>
          <t>Equities</t>
        </is>
      </c>
      <c r="C8" s="11" t="inlineStr">
        <is>
          <t>How often have you traded stocks?</t>
        </is>
      </c>
      <c r="D8" s="11" t="inlineStr">
        <is>
          <t>Above 20 times</t>
        </is>
      </c>
      <c r="E8" s="11" t="inlineStr">
        <is>
          <t>High</t>
        </is>
      </c>
      <c r="F8" s="13" t="n">
        <v>4</v>
      </c>
    </row>
    <row r="9">
      <c r="A9" s="10" t="inlineStr">
        <is>
          <t>Q34</t>
        </is>
      </c>
      <c r="B9" s="17" t="inlineStr">
        <is>
          <t>Crypto</t>
        </is>
      </c>
      <c r="C9" s="11" t="inlineStr">
        <is>
          <t>How often have you traded crypto?</t>
        </is>
      </c>
      <c r="D9" s="11" t="inlineStr">
        <is>
          <t>Never traded</t>
        </is>
      </c>
      <c r="E9" s="11" t="inlineStr">
        <is>
          <t>Medium</t>
        </is>
      </c>
      <c r="F9" s="13" t="n">
        <v>2</v>
      </c>
    </row>
    <row r="10">
      <c r="A10" s="10" t="inlineStr">
        <is>
          <t>Q34</t>
        </is>
      </c>
      <c r="B10" s="17" t="inlineStr">
        <is>
          <t>Crypto</t>
        </is>
      </c>
      <c r="C10" s="11" t="inlineStr">
        <is>
          <t>How often have you traded crypto?</t>
        </is>
      </c>
      <c r="D10" s="11" t="inlineStr">
        <is>
          <t>0-10 times</t>
        </is>
      </c>
      <c r="E10" s="11" t="inlineStr">
        <is>
          <t>MediumHigh</t>
        </is>
      </c>
      <c r="F10" s="13" t="n">
        <v>3</v>
      </c>
    </row>
    <row r="11">
      <c r="A11" s="10" t="inlineStr">
        <is>
          <t>Q34</t>
        </is>
      </c>
      <c r="B11" s="17" t="inlineStr">
        <is>
          <t>Crypto</t>
        </is>
      </c>
      <c r="C11" s="11" t="inlineStr">
        <is>
          <t>How often have you traded crypto?</t>
        </is>
      </c>
      <c r="D11" s="11" t="inlineStr">
        <is>
          <t>10-20 times</t>
        </is>
      </c>
      <c r="E11" s="11" t="inlineStr">
        <is>
          <t>High</t>
        </is>
      </c>
      <c r="F11" s="13" t="n">
        <v>4</v>
      </c>
    </row>
    <row r="12">
      <c r="A12" s="10" t="inlineStr">
        <is>
          <t>Q34</t>
        </is>
      </c>
      <c r="B12" s="17" t="inlineStr">
        <is>
          <t>Crypto</t>
        </is>
      </c>
      <c r="C12" s="11" t="inlineStr">
        <is>
          <t>How often have you traded crypto?</t>
        </is>
      </c>
      <c r="D12" s="11" t="inlineStr">
        <is>
          <t>Above 20 times</t>
        </is>
      </c>
      <c r="E12" s="11" t="inlineStr">
        <is>
          <t>High</t>
        </is>
      </c>
      <c r="F12" s="13" t="n">
        <v>4</v>
      </c>
    </row>
    <row r="13">
      <c r="A13" s="10" t="inlineStr">
        <is>
          <t>Q35</t>
        </is>
      </c>
      <c r="B13" s="17" t="inlineStr">
        <is>
          <t>LeveragedCfd</t>
        </is>
      </c>
      <c r="C13" s="11" t="inlineStr">
        <is>
          <t>How often have you traded leveraged CFDs?</t>
        </is>
      </c>
      <c r="D13" s="11" t="inlineStr">
        <is>
          <t>Never traded</t>
        </is>
      </c>
      <c r="E13" s="11" t="inlineStr">
        <is>
          <t>Medium</t>
        </is>
      </c>
      <c r="F13" s="13" t="n">
        <v>2</v>
      </c>
    </row>
    <row r="14">
      <c r="A14" s="10" t="inlineStr">
        <is>
          <t>Q35</t>
        </is>
      </c>
      <c r="B14" s="17" t="inlineStr">
        <is>
          <t>LeveragedCfd</t>
        </is>
      </c>
      <c r="C14" s="11" t="inlineStr">
        <is>
          <t>How often have you traded leveraged CFDs?</t>
        </is>
      </c>
      <c r="D14" s="11" t="inlineStr">
        <is>
          <t>0-10 times</t>
        </is>
      </c>
      <c r="E14" s="11" t="inlineStr">
        <is>
          <t>MediumHigh</t>
        </is>
      </c>
      <c r="F14" s="13" t="n">
        <v>3</v>
      </c>
    </row>
    <row r="15">
      <c r="A15" s="10" t="inlineStr">
        <is>
          <t>Q35</t>
        </is>
      </c>
      <c r="B15" s="17" t="inlineStr">
        <is>
          <t>LeveragedCfd</t>
        </is>
      </c>
      <c r="C15" s="11" t="inlineStr">
        <is>
          <t>How often have you traded leveraged CFDs?</t>
        </is>
      </c>
      <c r="D15" s="11" t="inlineStr">
        <is>
          <t>10-20 times</t>
        </is>
      </c>
      <c r="E15" s="11" t="inlineStr">
        <is>
          <t>High</t>
        </is>
      </c>
      <c r="F15" s="13" t="n">
        <v>4</v>
      </c>
    </row>
    <row r="16">
      <c r="A16" s="10" t="inlineStr">
        <is>
          <t>Q35</t>
        </is>
      </c>
      <c r="B16" s="17" t="inlineStr">
        <is>
          <t>LeveragedCfd</t>
        </is>
      </c>
      <c r="C16" s="11" t="inlineStr">
        <is>
          <t>How often have you traded leveraged CFDs?</t>
        </is>
      </c>
      <c r="D16" s="11" t="inlineStr">
        <is>
          <t>Above 20 times</t>
        </is>
      </c>
      <c r="E16" s="11" t="inlineStr">
        <is>
          <t>High</t>
        </is>
      </c>
      <c r="F16" s="13" t="n">
        <v>4</v>
      </c>
    </row>
    <row r="17">
      <c r="A17" s="10" t="inlineStr">
        <is>
          <t>Q35</t>
        </is>
      </c>
      <c r="B17" s="17" t="inlineStr">
        <is>
          <t>LeveragedCfd</t>
        </is>
      </c>
      <c r="C17" s="11" t="inlineStr">
        <is>
          <t>How often have you traded leveraged CFDs?</t>
        </is>
      </c>
      <c r="D17" s="11" t="inlineStr">
        <is>
          <t>10-40 times</t>
        </is>
      </c>
      <c r="E17" s="11" t="inlineStr">
        <is>
          <t>High</t>
        </is>
      </c>
      <c r="F17" s="13" t="n">
        <v>4</v>
      </c>
    </row>
    <row r="18">
      <c r="A18" s="10" t="inlineStr">
        <is>
          <t>Q35</t>
        </is>
      </c>
      <c r="B18" s="17" t="inlineStr">
        <is>
          <t>LeveragedCfd</t>
        </is>
      </c>
      <c r="C18" s="11" t="inlineStr">
        <is>
          <t>How often have you traded leveraged CFDs?</t>
        </is>
      </c>
      <c r="D18" s="11" t="inlineStr">
        <is>
          <t>Above 40 times</t>
        </is>
      </c>
      <c r="E18" s="11" t="inlineStr">
        <is>
          <t>High</t>
        </is>
      </c>
      <c r="F18" s="13" t="n">
        <v>4</v>
      </c>
    </row>
    <row r="19">
      <c r="A19" s="10" t="inlineStr">
        <is>
          <t>Q47</t>
        </is>
      </c>
      <c r="B19" s="17" t="inlineStr">
        <is>
          <t>EquitiesInvestedAmount</t>
        </is>
      </c>
      <c r="C19" s="11" t="inlineStr">
        <is>
          <t>How much have you invested in stocks?</t>
        </is>
      </c>
      <c r="D19" s="11" t="inlineStr">
        <is>
          <t>Never</t>
        </is>
      </c>
      <c r="E19" s="11" t="inlineStr">
        <is>
          <t>Medium</t>
        </is>
      </c>
      <c r="F19" s="13" t="n">
        <v>2</v>
      </c>
    </row>
    <row r="20">
      <c r="A20" s="10" t="inlineStr">
        <is>
          <t>Q47</t>
        </is>
      </c>
      <c r="B20" s="17" t="inlineStr">
        <is>
          <t>EquitiesInvestedAmount</t>
        </is>
      </c>
      <c r="C20" s="11" t="inlineStr">
        <is>
          <t>How much have you invested in stocks?</t>
        </is>
      </c>
      <c r="D20" s="11" t="inlineStr">
        <is>
          <t>$1 - $500</t>
        </is>
      </c>
      <c r="E20" s="11" t="inlineStr">
        <is>
          <t>Medium</t>
        </is>
      </c>
      <c r="F20" s="13" t="n">
        <v>2</v>
      </c>
    </row>
    <row r="21">
      <c r="A21" s="10" t="inlineStr">
        <is>
          <t>Q47</t>
        </is>
      </c>
      <c r="B21" s="17" t="inlineStr">
        <is>
          <t>EquitiesInvestedAmount</t>
        </is>
      </c>
      <c r="C21" s="11" t="inlineStr">
        <is>
          <t>How much have you invested in stocks?</t>
        </is>
      </c>
      <c r="D21" s="11" t="inlineStr">
        <is>
          <t>$500 - $2,000</t>
        </is>
      </c>
      <c r="E21" s="11" t="inlineStr">
        <is>
          <t>Medium</t>
        </is>
      </c>
      <c r="F21" s="13" t="n">
        <v>2</v>
      </c>
    </row>
    <row r="22">
      <c r="A22" s="10" t="inlineStr">
        <is>
          <t>Q47</t>
        </is>
      </c>
      <c r="B22" s="17" t="inlineStr">
        <is>
          <t>EquitiesInvestedAmount</t>
        </is>
      </c>
      <c r="C22" s="11" t="inlineStr">
        <is>
          <t>How much have you invested in stocks?</t>
        </is>
      </c>
      <c r="D22" s="11" t="inlineStr">
        <is>
          <t>Above $2,000</t>
        </is>
      </c>
      <c r="E22" s="11" t="inlineStr">
        <is>
          <t>Medium</t>
        </is>
      </c>
      <c r="F22" s="13" t="n">
        <v>2</v>
      </c>
    </row>
    <row r="23">
      <c r="A23" s="10" t="inlineStr">
        <is>
          <t>Q48</t>
        </is>
      </c>
      <c r="B23" s="17" t="inlineStr">
        <is>
          <t>CryptoInvestedAmount</t>
        </is>
      </c>
      <c r="C23" s="11" t="inlineStr">
        <is>
          <t>How much have you invested in crypto?</t>
        </is>
      </c>
      <c r="D23" s="11" t="inlineStr">
        <is>
          <t>Never</t>
        </is>
      </c>
      <c r="E23" s="11" t="inlineStr">
        <is>
          <t>Medium</t>
        </is>
      </c>
      <c r="F23" s="13" t="n">
        <v>2</v>
      </c>
    </row>
    <row r="24">
      <c r="A24" s="10" t="inlineStr">
        <is>
          <t>Q48</t>
        </is>
      </c>
      <c r="B24" s="17" t="inlineStr">
        <is>
          <t>CryptoInvestedAmount</t>
        </is>
      </c>
      <c r="C24" s="11" t="inlineStr">
        <is>
          <t>How much have you invested in crypto?</t>
        </is>
      </c>
      <c r="D24" s="11" t="inlineStr">
        <is>
          <t>$1 - $500</t>
        </is>
      </c>
      <c r="E24" s="11" t="inlineStr">
        <is>
          <t>Medium</t>
        </is>
      </c>
      <c r="F24" s="13" t="n">
        <v>2</v>
      </c>
    </row>
    <row r="25">
      <c r="A25" s="10" t="inlineStr">
        <is>
          <t>Q48</t>
        </is>
      </c>
      <c r="B25" s="17" t="inlineStr">
        <is>
          <t>CryptoInvestedAmount</t>
        </is>
      </c>
      <c r="C25" s="11" t="inlineStr">
        <is>
          <t>How much have you invested in crypto?</t>
        </is>
      </c>
      <c r="D25" s="11" t="inlineStr">
        <is>
          <t>$500 - $2,000</t>
        </is>
      </c>
      <c r="E25" s="11" t="inlineStr">
        <is>
          <t>High</t>
        </is>
      </c>
      <c r="F25" s="13" t="n">
        <v>4</v>
      </c>
    </row>
    <row r="26">
      <c r="A26" s="10" t="inlineStr">
        <is>
          <t>Q48</t>
        </is>
      </c>
      <c r="B26" s="17" t="inlineStr">
        <is>
          <t>CryptoInvestedAmount</t>
        </is>
      </c>
      <c r="C26" s="11" t="inlineStr">
        <is>
          <t>How much have you invested in crypto?</t>
        </is>
      </c>
      <c r="D26" s="11" t="inlineStr">
        <is>
          <t>Above $2,000</t>
        </is>
      </c>
      <c r="E26" s="11" t="inlineStr">
        <is>
          <t>High</t>
        </is>
      </c>
      <c r="F26" s="13" t="n">
        <v>4</v>
      </c>
    </row>
    <row r="27">
      <c r="A27" s="10" t="inlineStr">
        <is>
          <t>Q45</t>
        </is>
      </c>
      <c r="B27" s="17" t="inlineStr">
        <is>
          <t>LeveragedCfdInvestedAmount</t>
        </is>
      </c>
      <c r="C27" s="11" t="inlineStr">
        <is>
          <t>How much have you invested in leveraged CFDs?</t>
        </is>
      </c>
      <c r="D27" s="11" t="inlineStr">
        <is>
          <t>Never</t>
        </is>
      </c>
      <c r="E27" s="11" t="inlineStr">
        <is>
          <t>Medium</t>
        </is>
      </c>
      <c r="F27" s="13" t="n">
        <v>2</v>
      </c>
    </row>
    <row r="28">
      <c r="A28" s="10" t="inlineStr">
        <is>
          <t>Q45</t>
        </is>
      </c>
      <c r="B28" s="17" t="inlineStr">
        <is>
          <t>LeveragedCfdInvestedAmount</t>
        </is>
      </c>
      <c r="C28" s="11" t="inlineStr">
        <is>
          <t>How much have you invested in leveraged CFDs?</t>
        </is>
      </c>
      <c r="D28" s="11" t="inlineStr">
        <is>
          <t>$1 - $500</t>
        </is>
      </c>
      <c r="E28" s="11" t="inlineStr">
        <is>
          <t>MediumHigh</t>
        </is>
      </c>
      <c r="F28" s="13" t="n">
        <v>3</v>
      </c>
    </row>
    <row r="29">
      <c r="A29" s="10" t="inlineStr">
        <is>
          <t>Q45</t>
        </is>
      </c>
      <c r="B29" s="17" t="inlineStr">
        <is>
          <t>LeveragedCfdInvestedAmount</t>
        </is>
      </c>
      <c r="C29" s="11" t="inlineStr">
        <is>
          <t>How much have you invested in leveraged CFDs?</t>
        </is>
      </c>
      <c r="D29" s="11" t="inlineStr">
        <is>
          <t>$500 - $2,000</t>
        </is>
      </c>
      <c r="E29" s="11" t="inlineStr">
        <is>
          <t>High</t>
        </is>
      </c>
      <c r="F29" s="13" t="n">
        <v>4</v>
      </c>
    </row>
    <row r="30">
      <c r="A30" s="10" t="inlineStr">
        <is>
          <t>Q45</t>
        </is>
      </c>
      <c r="B30" s="17" t="inlineStr">
        <is>
          <t>LeveragedCfdInvestedAmount</t>
        </is>
      </c>
      <c r="C30" s="11" t="inlineStr">
        <is>
          <t>How much have you invested in leveraged CFDs?</t>
        </is>
      </c>
      <c r="D30" s="11" t="inlineStr">
        <is>
          <t>Above $2,000</t>
        </is>
      </c>
      <c r="E30" s="11" t="inlineStr">
        <is>
          <t>High</t>
        </is>
      </c>
      <c r="F30" s="13" t="n">
        <v>4</v>
      </c>
    </row>
    <row r="31">
      <c r="A31" s="10" t="inlineStr">
        <is>
          <t>Q3</t>
        </is>
      </c>
      <c r="B31" s="17" t="inlineStr">
        <is>
          <t>TradingKnowledge</t>
        </is>
      </c>
      <c r="C31" s="11" t="inlineStr">
        <is>
          <t>What relevant financial knowledge do you have?</t>
        </is>
      </c>
      <c r="D31" s="11" t="inlineStr">
        <is>
          <t>Professional certificate / work experience</t>
        </is>
      </c>
      <c r="E31" s="11" t="inlineStr">
        <is>
          <t>High</t>
        </is>
      </c>
      <c r="F31" s="13" t="n">
        <v>4</v>
      </c>
    </row>
    <row r="32">
      <c r="A32" s="10" t="inlineStr">
        <is>
          <t>Q3</t>
        </is>
      </c>
      <c r="B32" s="17" t="inlineStr">
        <is>
          <t>TradingKnowledge</t>
        </is>
      </c>
      <c r="C32" s="11" t="inlineStr">
        <is>
          <t>What relevant financial knowledge do you have?</t>
        </is>
      </c>
      <c r="D32" s="11" t="inlineStr">
        <is>
          <t>University degree in finance</t>
        </is>
      </c>
      <c r="E32" s="11" t="inlineStr">
        <is>
          <t>High</t>
        </is>
      </c>
      <c r="F32" s="13" t="n">
        <v>4</v>
      </c>
    </row>
    <row r="33">
      <c r="A33" s="10" t="inlineStr">
        <is>
          <t>Q3</t>
        </is>
      </c>
      <c r="B33" s="17" t="inlineStr">
        <is>
          <t>TradingKnowledge</t>
        </is>
      </c>
      <c r="C33" s="11" t="inlineStr">
        <is>
          <t>What relevant financial knowledge do you have?</t>
        </is>
      </c>
      <c r="D33" s="11" t="inlineStr">
        <is>
          <t>Trading courses</t>
        </is>
      </c>
      <c r="E33" s="11" t="inlineStr">
        <is>
          <t>MediumHigh</t>
        </is>
      </c>
      <c r="F33" s="13" t="n">
        <v>3</v>
      </c>
    </row>
    <row r="34">
      <c r="A34" s="10" t="inlineStr">
        <is>
          <t>Q3</t>
        </is>
      </c>
      <c r="B34" s="17" t="inlineStr">
        <is>
          <t>TradingKnowledge</t>
        </is>
      </c>
      <c r="C34" s="11" t="inlineStr">
        <is>
          <t>What relevant financial knowledge do you have?</t>
        </is>
      </c>
      <c r="D34" s="11" t="inlineStr">
        <is>
          <t>No financial knowledge</t>
        </is>
      </c>
      <c r="E34" s="11" t="inlineStr">
        <is>
          <t>Medium</t>
        </is>
      </c>
      <c r="F34" s="13" t="n">
        <v>2</v>
      </c>
    </row>
    <row r="35">
      <c r="A35" s="10" t="inlineStr">
        <is>
          <t>Q5</t>
        </is>
      </c>
      <c r="B35" s="17" t="inlineStr">
        <is>
          <t>TradingStrategy</t>
        </is>
      </c>
      <c r="C35" s="11" t="inlineStr">
        <is>
          <t>How long do you typically hold a position?</t>
        </is>
      </c>
      <c r="D35" s="11" t="inlineStr">
        <is>
          <t>A few seconds up to 24 hours</t>
        </is>
      </c>
      <c r="E35" s="11" t="inlineStr">
        <is>
          <t>High</t>
        </is>
      </c>
      <c r="F35" s="13" t="n">
        <v>4</v>
      </c>
    </row>
    <row r="36">
      <c r="A36" s="10" t="inlineStr">
        <is>
          <t>Q5</t>
        </is>
      </c>
      <c r="B36" s="17" t="inlineStr">
        <is>
          <t>TradingStrategy</t>
        </is>
      </c>
      <c r="C36" s="11" t="inlineStr">
        <is>
          <t>How long do you typically hold a position?</t>
        </is>
      </c>
      <c r="D36" s="11" t="inlineStr">
        <is>
          <t>A few weeks up to several months</t>
        </is>
      </c>
      <c r="E36" s="11" t="inlineStr">
        <is>
          <t>MediumHigh</t>
        </is>
      </c>
      <c r="F36" s="13" t="n">
        <v>3</v>
      </c>
    </row>
    <row r="37">
      <c r="A37" s="10" t="inlineStr">
        <is>
          <t>Q5</t>
        </is>
      </c>
      <c r="B37" s="17" t="inlineStr">
        <is>
          <t>TradingStrategy</t>
        </is>
      </c>
      <c r="C37" s="11" t="inlineStr">
        <is>
          <t>How long do you typically hold a position?</t>
        </is>
      </c>
      <c r="D37" s="11" t="inlineStr">
        <is>
          <t>More than several months / years</t>
        </is>
      </c>
      <c r="E37" s="11" t="inlineStr">
        <is>
          <t>Medium</t>
        </is>
      </c>
      <c r="F37" s="13" t="n">
        <v>2</v>
      </c>
    </row>
    <row r="38">
      <c r="A38" s="10" t="inlineStr">
        <is>
          <t>Q8</t>
        </is>
      </c>
      <c r="B38" s="17" t="inlineStr">
        <is>
          <t>TradingPurpose</t>
        </is>
      </c>
      <c r="C38" s="11" t="inlineStr">
        <is>
          <t>What is your primary purpose for trading?</t>
        </is>
      </c>
      <c r="D38" s="11" t="inlineStr">
        <is>
          <t>Short-term returns</t>
        </is>
      </c>
      <c r="E38" s="11" t="inlineStr">
        <is>
          <t>High</t>
        </is>
      </c>
      <c r="F38" s="13" t="n">
        <v>4</v>
      </c>
    </row>
    <row r="39">
      <c r="A39" s="10" t="inlineStr">
        <is>
          <t>Q8</t>
        </is>
      </c>
      <c r="B39" s="17" t="inlineStr">
        <is>
          <t>TradingPurpose</t>
        </is>
      </c>
      <c r="C39" s="11" t="inlineStr">
        <is>
          <t>What is your primary purpose for trading?</t>
        </is>
      </c>
      <c r="D39" s="11" t="inlineStr">
        <is>
          <t>Additional revenues</t>
        </is>
      </c>
      <c r="E39" s="11" t="inlineStr">
        <is>
          <t>MediumHigh</t>
        </is>
      </c>
      <c r="F39" s="13" t="n">
        <v>3</v>
      </c>
    </row>
    <row r="40">
      <c r="A40" s="10" t="inlineStr">
        <is>
          <t>Q8</t>
        </is>
      </c>
      <c r="B40" s="17" t="inlineStr">
        <is>
          <t>TradingPurpose</t>
        </is>
      </c>
      <c r="C40" s="11" t="inlineStr">
        <is>
          <t>What is your primary purpose for trading?</t>
        </is>
      </c>
      <c r="D40" s="11" t="inlineStr">
        <is>
          <t>Future planning</t>
        </is>
      </c>
      <c r="E40" s="11" t="inlineStr">
        <is>
          <t>Medium</t>
        </is>
      </c>
      <c r="F40" s="13" t="n">
        <v>2</v>
      </c>
    </row>
    <row r="41">
      <c r="A41" s="10" t="inlineStr">
        <is>
          <t>Q8</t>
        </is>
      </c>
      <c r="B41" s="17" t="inlineStr">
        <is>
          <t>TradingPurpose</t>
        </is>
      </c>
      <c r="C41" s="11" t="inlineStr">
        <is>
          <t>What is your primary purpose for trading?</t>
        </is>
      </c>
      <c r="D41" s="11" t="inlineStr">
        <is>
          <t>Saving for a home</t>
        </is>
      </c>
      <c r="E41" s="11" t="inlineStr">
        <is>
          <t>Medium</t>
        </is>
      </c>
      <c r="F41" s="13" t="n">
        <v>2</v>
      </c>
    </row>
    <row r="42">
      <c r="A42" s="10" t="inlineStr">
        <is>
          <t>Q8</t>
        </is>
      </c>
      <c r="B42" s="17" t="inlineStr">
        <is>
          <t>TradingPurpose</t>
        </is>
      </c>
      <c r="C42" s="11" t="inlineStr">
        <is>
          <t>What is your primary purpose for trading?</t>
        </is>
      </c>
      <c r="D42" s="11" t="inlineStr">
        <is>
          <t>Converting crypto to fiat</t>
        </is>
      </c>
      <c r="E42" s="11" t="inlineStr">
        <is>
          <t>High</t>
        </is>
      </c>
      <c r="F42" s="13" t="n">
        <v>4</v>
      </c>
    </row>
    <row r="43">
      <c r="A43" s="10" t="inlineStr">
        <is>
          <t>Q8</t>
        </is>
      </c>
      <c r="B43" s="17" t="inlineStr">
        <is>
          <t>TradingPurpose</t>
        </is>
      </c>
      <c r="C43" s="11" t="inlineStr">
        <is>
          <t>What is your primary purpose for trading?</t>
        </is>
      </c>
      <c r="D43" s="11" t="inlineStr">
        <is>
          <t>Trading</t>
        </is>
      </c>
      <c r="E43" s="11" t="inlineStr">
        <is>
          <t>Medium</t>
        </is>
      </c>
      <c r="F43" s="13" t="n">
        <v>2</v>
      </c>
    </row>
    <row r="44">
      <c r="A44" s="10" t="inlineStr">
        <is>
          <t>Q8</t>
        </is>
      </c>
      <c r="B44" s="17" t="inlineStr">
        <is>
          <t>TradingPurpose</t>
        </is>
      </c>
      <c r="C44" s="11" t="inlineStr">
        <is>
          <t>What is your primary purpose for trading?</t>
        </is>
      </c>
      <c r="D44" s="11" t="inlineStr">
        <is>
          <t>Investments</t>
        </is>
      </c>
      <c r="E44" s="11" t="inlineStr">
        <is>
          <t>Low</t>
        </is>
      </c>
      <c r="F44" s="13" t="n">
        <v>1</v>
      </c>
    </row>
    <row r="45">
      <c r="A45" s="10" t="inlineStr">
        <is>
          <t>Q8</t>
        </is>
      </c>
      <c r="B45" s="17" t="inlineStr">
        <is>
          <t>TradingPurpose</t>
        </is>
      </c>
      <c r="C45" s="11" t="inlineStr">
        <is>
          <t>What is your primary purpose for trading?</t>
        </is>
      </c>
      <c r="D45" s="11" t="inlineStr">
        <is>
          <t>Crypto trading and/or conversion</t>
        </is>
      </c>
      <c r="E45" s="11" t="inlineStr">
        <is>
          <t>Medium</t>
        </is>
      </c>
      <c r="F45" s="13" t="n">
        <v>2</v>
      </c>
    </row>
    <row r="46">
      <c r="A46" s="10" t="inlineStr">
        <is>
          <t>Q9</t>
        </is>
      </c>
      <c r="B46" s="17" t="inlineStr">
        <is>
          <t>RiskAppetite</t>
        </is>
      </c>
      <c r="C46" s="11" t="inlineStr">
        <is>
          <t>What gain and loss are you comfortable with?</t>
        </is>
      </c>
      <c r="D46" s="11" t="inlineStr">
        <is>
          <t>5% / -3%</t>
        </is>
      </c>
      <c r="E46" s="11" t="inlineStr">
        <is>
          <t>Low</t>
        </is>
      </c>
      <c r="F46" s="13" t="n">
        <v>1</v>
      </c>
    </row>
    <row r="47">
      <c r="A47" s="10" t="inlineStr">
        <is>
          <t>Q9</t>
        </is>
      </c>
      <c r="B47" s="17" t="inlineStr">
        <is>
          <t>RiskAppetite</t>
        </is>
      </c>
      <c r="C47" s="11" t="inlineStr">
        <is>
          <t>What gain and loss are you comfortable with?</t>
        </is>
      </c>
      <c r="D47" s="11" t="inlineStr">
        <is>
          <t>10% / -6%</t>
        </is>
      </c>
      <c r="E47" s="11" t="inlineStr">
        <is>
          <t>Medium</t>
        </is>
      </c>
      <c r="F47" s="13" t="n">
        <v>2</v>
      </c>
    </row>
    <row r="48">
      <c r="A48" s="10" t="inlineStr">
        <is>
          <t>Q9</t>
        </is>
      </c>
      <c r="B48" s="17" t="inlineStr">
        <is>
          <t>RiskAppetite</t>
        </is>
      </c>
      <c r="C48" s="11" t="inlineStr">
        <is>
          <t>What gain and loss are you comfortable with?</t>
        </is>
      </c>
      <c r="D48" s="11" t="inlineStr">
        <is>
          <t>20% / -12%</t>
        </is>
      </c>
      <c r="E48" s="11" t="inlineStr">
        <is>
          <t>MediumHigh</t>
        </is>
      </c>
      <c r="F48" s="13" t="n">
        <v>3</v>
      </c>
    </row>
    <row r="49">
      <c r="A49" s="10" t="inlineStr">
        <is>
          <t>Q9</t>
        </is>
      </c>
      <c r="B49" s="17" t="inlineStr">
        <is>
          <t>RiskAppetite</t>
        </is>
      </c>
      <c r="C49" s="11" t="inlineStr">
        <is>
          <t>What gain and loss are you comfortable with?</t>
        </is>
      </c>
      <c r="D49" s="11" t="inlineStr">
        <is>
          <t>40% / -24%</t>
        </is>
      </c>
      <c r="E49" s="11" t="inlineStr">
        <is>
          <t>High</t>
        </is>
      </c>
      <c r="F49" s="13" t="n">
        <v>4</v>
      </c>
    </row>
    <row r="50">
      <c r="A50" s="10" t="inlineStr">
        <is>
          <t>Q9</t>
        </is>
      </c>
      <c r="B50" s="17" t="inlineStr">
        <is>
          <t>RiskAppetite</t>
        </is>
      </c>
      <c r="C50" s="11" t="inlineStr">
        <is>
          <t>What gain and loss are you comfortable with?</t>
        </is>
      </c>
      <c r="D50" s="11" t="inlineStr">
        <is>
          <t>80% / -48%</t>
        </is>
      </c>
      <c r="E50" s="11" t="inlineStr">
        <is>
          <t>High</t>
        </is>
      </c>
      <c r="F50" s="13" t="n">
        <v>4</v>
      </c>
    </row>
    <row r="51">
      <c r="A51" s="10" t="inlineStr">
        <is>
          <t>Q15</t>
        </is>
      </c>
      <c r="B51" s="17" t="inlineStr">
        <is>
          <t>IncomeSource</t>
        </is>
      </c>
      <c r="C51" s="11" t="inlineStr">
        <is>
          <t>What is your main source of income?</t>
        </is>
      </c>
      <c r="D51" s="11" t="inlineStr">
        <is>
          <t>Salary</t>
        </is>
      </c>
      <c r="E51" s="11" t="inlineStr">
        <is>
          <t>High</t>
        </is>
      </c>
      <c r="F51" s="13" t="n">
        <v>4</v>
      </c>
    </row>
    <row r="52">
      <c r="A52" s="10" t="inlineStr">
        <is>
          <t>Q15</t>
        </is>
      </c>
      <c r="B52" s="17" t="inlineStr">
        <is>
          <t>IncomeSource</t>
        </is>
      </c>
      <c r="C52" s="11" t="inlineStr">
        <is>
          <t>What is your main source of income?</t>
        </is>
      </c>
      <c r="D52" s="11" t="inlineStr">
        <is>
          <t>Employment</t>
        </is>
      </c>
      <c r="E52" s="11" t="inlineStr">
        <is>
          <t>High</t>
        </is>
      </c>
      <c r="F52" s="13" t="n">
        <v>4</v>
      </c>
    </row>
    <row r="53">
      <c r="A53" s="10" t="inlineStr">
        <is>
          <t>Q15</t>
        </is>
      </c>
      <c r="B53" s="17" t="inlineStr">
        <is>
          <t>IncomeSource</t>
        </is>
      </c>
      <c r="C53" s="11" t="inlineStr">
        <is>
          <t>What is your main source of income?</t>
        </is>
      </c>
      <c r="D53" s="11" t="inlineStr">
        <is>
          <t>Investments</t>
        </is>
      </c>
      <c r="E53" s="11" t="inlineStr">
        <is>
          <t>High</t>
        </is>
      </c>
      <c r="F53" s="13" t="n">
        <v>4</v>
      </c>
    </row>
    <row r="54">
      <c r="A54" s="10" t="inlineStr">
        <is>
          <t>Q15</t>
        </is>
      </c>
      <c r="B54" s="17" t="inlineStr">
        <is>
          <t>IncomeSource</t>
        </is>
      </c>
      <c r="C54" s="11" t="inlineStr">
        <is>
          <t>What is your main source of income?</t>
        </is>
      </c>
      <c r="D54" s="11" t="inlineStr">
        <is>
          <t>Savings</t>
        </is>
      </c>
      <c r="E54" s="11" t="inlineStr">
        <is>
          <t>High</t>
        </is>
      </c>
      <c r="F54" s="13" t="n">
        <v>4</v>
      </c>
    </row>
    <row r="55">
      <c r="A55" s="10" t="inlineStr">
        <is>
          <t>Q15</t>
        </is>
      </c>
      <c r="B55" s="17" t="inlineStr">
        <is>
          <t>IncomeSource</t>
        </is>
      </c>
      <c r="C55" s="11" t="inlineStr">
        <is>
          <t>What is your main source of income?</t>
        </is>
      </c>
      <c r="D55" s="11" t="inlineStr">
        <is>
          <t>Business activities</t>
        </is>
      </c>
      <c r="E55" s="11" t="inlineStr">
        <is>
          <t>High</t>
        </is>
      </c>
      <c r="F55" s="13" t="n">
        <v>4</v>
      </c>
    </row>
    <row r="56">
      <c r="A56" s="10" t="inlineStr">
        <is>
          <t>Q15</t>
        </is>
      </c>
      <c r="B56" s="17" t="inlineStr">
        <is>
          <t>IncomeSource</t>
        </is>
      </c>
      <c r="C56" s="11" t="inlineStr">
        <is>
          <t>What is your main source of income?</t>
        </is>
      </c>
      <c r="D56" s="11" t="inlineStr">
        <is>
          <t>Crypto-related gains</t>
        </is>
      </c>
      <c r="E56" s="11" t="inlineStr">
        <is>
          <t>High</t>
        </is>
      </c>
      <c r="F56" s="13" t="n">
        <v>4</v>
      </c>
    </row>
    <row r="57">
      <c r="A57" s="10" t="inlineStr">
        <is>
          <t>Q15</t>
        </is>
      </c>
      <c r="B57" s="17" t="inlineStr">
        <is>
          <t>IncomeSource</t>
        </is>
      </c>
      <c r="C57" s="11" t="inlineStr">
        <is>
          <t>What is your main source of income?</t>
        </is>
      </c>
      <c r="D57" s="11" t="inlineStr">
        <is>
          <t>Inheritance</t>
        </is>
      </c>
      <c r="E57" s="11" t="inlineStr">
        <is>
          <t>MediumHigh</t>
        </is>
      </c>
      <c r="F57" s="13" t="n">
        <v>3</v>
      </c>
    </row>
    <row r="58">
      <c r="A58" s="10" t="inlineStr">
        <is>
          <t>Q15</t>
        </is>
      </c>
      <c r="B58" s="17" t="inlineStr">
        <is>
          <t>IncomeSource</t>
        </is>
      </c>
      <c r="C58" s="11" t="inlineStr">
        <is>
          <t>What is your main source of income?</t>
        </is>
      </c>
      <c r="D58" s="11" t="inlineStr">
        <is>
          <t>Family financial support</t>
        </is>
      </c>
      <c r="E58" s="11" t="inlineStr">
        <is>
          <t>Medium</t>
        </is>
      </c>
      <c r="F58" s="13" t="n">
        <v>2</v>
      </c>
    </row>
    <row r="59">
      <c r="A59" s="10" t="inlineStr">
        <is>
          <t>Q15</t>
        </is>
      </c>
      <c r="B59" s="17" t="inlineStr">
        <is>
          <t>IncomeSource</t>
        </is>
      </c>
      <c r="C59" s="11" t="inlineStr">
        <is>
          <t>What is your main source of income?</t>
        </is>
      </c>
      <c r="D59" s="11" t="inlineStr">
        <is>
          <t>Other</t>
        </is>
      </c>
      <c r="E59" s="11" t="inlineStr">
        <is>
          <t>Medium</t>
        </is>
      </c>
      <c r="F59" s="13" t="n">
        <v>2</v>
      </c>
    </row>
    <row r="60">
      <c r="A60" s="10" t="inlineStr">
        <is>
          <t>Q15</t>
        </is>
      </c>
      <c r="B60" s="17" t="inlineStr">
        <is>
          <t>IncomeSource</t>
        </is>
      </c>
      <c r="C60" s="11" t="inlineStr">
        <is>
          <t>What is your main source of income?</t>
        </is>
      </c>
      <c r="D60" s="11" t="inlineStr">
        <is>
          <t>Pension</t>
        </is>
      </c>
      <c r="E60" s="11" t="inlineStr">
        <is>
          <t>Low</t>
        </is>
      </c>
      <c r="F60" s="13" t="n">
        <v>1</v>
      </c>
    </row>
    <row r="61">
      <c r="A61" s="10" t="inlineStr">
        <is>
          <t>Q15</t>
        </is>
      </c>
      <c r="B61" s="17" t="inlineStr">
        <is>
          <t>IncomeSource</t>
        </is>
      </c>
      <c r="C61" s="11" t="inlineStr">
        <is>
          <t>What is your main source of income?</t>
        </is>
      </c>
      <c r="D61" s="11" t="inlineStr">
        <is>
          <t>Social security</t>
        </is>
      </c>
      <c r="E61" s="11" t="inlineStr">
        <is>
          <t>Low</t>
        </is>
      </c>
      <c r="F61" s="13" t="n">
        <v>1</v>
      </c>
    </row>
    <row r="62">
      <c r="A62" s="10" t="inlineStr">
        <is>
          <t>Q15</t>
        </is>
      </c>
      <c r="B62" s="17" t="inlineStr">
        <is>
          <t>IncomeSource</t>
        </is>
      </c>
      <c r="C62" s="11" t="inlineStr">
        <is>
          <t>What is your main source of income?</t>
        </is>
      </c>
      <c r="D62" s="11" t="inlineStr">
        <is>
          <t>Severance</t>
        </is>
      </c>
      <c r="E62" s="11" t="inlineStr">
        <is>
          <t>Low</t>
        </is>
      </c>
      <c r="F62" s="13" t="n">
        <v>1</v>
      </c>
    </row>
    <row r="63">
      <c r="A63" s="10" t="inlineStr">
        <is>
          <t>Q10</t>
        </is>
      </c>
      <c r="B63" s="17" t="inlineStr">
        <is>
          <t>AnnualIncome</t>
        </is>
      </c>
      <c r="C63" s="11" t="inlineStr">
        <is>
          <t>What is your net annual income?</t>
        </is>
      </c>
      <c r="D63" s="11" t="inlineStr">
        <is>
          <t>Up to $10K</t>
        </is>
      </c>
      <c r="E63" s="10" t="inlineStr">
        <is>
          <t>hard block input</t>
        </is>
      </c>
      <c r="F63" s="19" t="n"/>
    </row>
    <row r="64">
      <c r="A64" s="10" t="inlineStr">
        <is>
          <t>Q10</t>
        </is>
      </c>
      <c r="B64" s="17" t="inlineStr">
        <is>
          <t>AnnualIncome</t>
        </is>
      </c>
      <c r="C64" s="11" t="inlineStr">
        <is>
          <t>What is your net annual income?</t>
        </is>
      </c>
      <c r="D64" s="11" t="inlineStr">
        <is>
          <t>$10K - $50K</t>
        </is>
      </c>
      <c r="E64" s="10" t="inlineStr">
        <is>
          <t>hard block input</t>
        </is>
      </c>
      <c r="F64" s="19" t="n"/>
    </row>
    <row r="65">
      <c r="A65" s="10" t="inlineStr">
        <is>
          <t>Q10</t>
        </is>
      </c>
      <c r="B65" s="17" t="inlineStr">
        <is>
          <t>AnnualIncome</t>
        </is>
      </c>
      <c r="C65" s="11" t="inlineStr">
        <is>
          <t>What is your net annual income?</t>
        </is>
      </c>
      <c r="D65" s="11" t="inlineStr">
        <is>
          <t>$50K - $200K</t>
        </is>
      </c>
      <c r="E65" s="10" t="inlineStr">
        <is>
          <t>hard block input</t>
        </is>
      </c>
      <c r="F65" s="19" t="n"/>
    </row>
    <row r="66">
      <c r="A66" s="10" t="inlineStr">
        <is>
          <t>Q10</t>
        </is>
      </c>
      <c r="B66" s="17" t="inlineStr">
        <is>
          <t>AnnualIncome</t>
        </is>
      </c>
      <c r="C66" s="11" t="inlineStr">
        <is>
          <t>What is your net annual income?</t>
        </is>
      </c>
      <c r="D66" s="11" t="inlineStr">
        <is>
          <t>$200K - $500K</t>
        </is>
      </c>
      <c r="E66" s="10" t="inlineStr">
        <is>
          <t>hard block input</t>
        </is>
      </c>
      <c r="F66" s="19" t="n"/>
    </row>
    <row r="67">
      <c r="A67" s="10" t="inlineStr">
        <is>
          <t>Q10</t>
        </is>
      </c>
      <c r="B67" s="17" t="inlineStr">
        <is>
          <t>AnnualIncome</t>
        </is>
      </c>
      <c r="C67" s="11" t="inlineStr">
        <is>
          <t>What is your net annual income?</t>
        </is>
      </c>
      <c r="D67" s="11" t="inlineStr">
        <is>
          <t>$500K - $1M</t>
        </is>
      </c>
      <c r="E67" s="10" t="inlineStr">
        <is>
          <t>hard block input</t>
        </is>
      </c>
      <c r="F67" s="19" t="n"/>
    </row>
    <row r="68">
      <c r="A68" s="10" t="inlineStr">
        <is>
          <t>Q10</t>
        </is>
      </c>
      <c r="B68" s="17" t="inlineStr">
        <is>
          <t>AnnualIncome</t>
        </is>
      </c>
      <c r="C68" s="11" t="inlineStr">
        <is>
          <t>What is your net annual income?</t>
        </is>
      </c>
      <c r="D68" s="11" t="inlineStr">
        <is>
          <t>$1M - $5M</t>
        </is>
      </c>
      <c r="E68" s="10" t="inlineStr">
        <is>
          <t>hard block input</t>
        </is>
      </c>
      <c r="F68" s="19" t="n"/>
    </row>
    <row r="69">
      <c r="A69" s="10" t="inlineStr">
        <is>
          <t>Q11</t>
        </is>
      </c>
      <c r="B69" s="17" t="inlineStr">
        <is>
          <t>LiquidAssets</t>
        </is>
      </c>
      <c r="C69" s="11" t="inlineStr">
        <is>
          <t>What are your total cash and liquid assets?</t>
        </is>
      </c>
      <c r="D69" s="11" t="inlineStr">
        <is>
          <t>Up to $10K</t>
        </is>
      </c>
      <c r="E69" s="10" t="inlineStr">
        <is>
          <t>hard block input</t>
        </is>
      </c>
      <c r="F69" s="19" t="n"/>
    </row>
    <row r="70">
      <c r="A70" s="10" t="inlineStr">
        <is>
          <t>Q11</t>
        </is>
      </c>
      <c r="B70" s="17" t="inlineStr">
        <is>
          <t>LiquidAssets</t>
        </is>
      </c>
      <c r="C70" s="11" t="inlineStr">
        <is>
          <t>What are your total cash and liquid assets?</t>
        </is>
      </c>
      <c r="D70" s="11" t="inlineStr">
        <is>
          <t>$10K - $50K</t>
        </is>
      </c>
      <c r="E70" s="10" t="inlineStr">
        <is>
          <t>hard block input</t>
        </is>
      </c>
      <c r="F70" s="19" t="n"/>
    </row>
    <row r="71">
      <c r="A71" s="10" t="inlineStr">
        <is>
          <t>Q11</t>
        </is>
      </c>
      <c r="B71" s="17" t="inlineStr">
        <is>
          <t>LiquidAssets</t>
        </is>
      </c>
      <c r="C71" s="11" t="inlineStr">
        <is>
          <t>What are your total cash and liquid assets?</t>
        </is>
      </c>
      <c r="D71" s="11" t="inlineStr">
        <is>
          <t>$50K - $200K</t>
        </is>
      </c>
      <c r="E71" s="10" t="inlineStr">
        <is>
          <t>hard block input</t>
        </is>
      </c>
      <c r="F71" s="19" t="n"/>
    </row>
    <row r="72">
      <c r="A72" s="10" t="inlineStr">
        <is>
          <t>Q11</t>
        </is>
      </c>
      <c r="B72" s="17" t="inlineStr">
        <is>
          <t>LiquidAssets</t>
        </is>
      </c>
      <c r="C72" s="11" t="inlineStr">
        <is>
          <t>What are your total cash and liquid assets?</t>
        </is>
      </c>
      <c r="D72" s="11" t="inlineStr">
        <is>
          <t>$200K - $500K</t>
        </is>
      </c>
      <c r="E72" s="10" t="inlineStr">
        <is>
          <t>hard block input</t>
        </is>
      </c>
      <c r="F72" s="19" t="n"/>
    </row>
    <row r="73">
      <c r="A73" s="10" t="inlineStr">
        <is>
          <t>Q11</t>
        </is>
      </c>
      <c r="B73" s="17" t="inlineStr">
        <is>
          <t>LiquidAssets</t>
        </is>
      </c>
      <c r="C73" s="11" t="inlineStr">
        <is>
          <t>What are your total cash and liquid assets?</t>
        </is>
      </c>
      <c r="D73" s="11" t="inlineStr">
        <is>
          <t>$500K - $1M</t>
        </is>
      </c>
      <c r="E73" s="10" t="inlineStr">
        <is>
          <t>hard block input</t>
        </is>
      </c>
      <c r="F73" s="19" t="n"/>
    </row>
    <row r="74">
      <c r="A74" s="10" t="inlineStr">
        <is>
          <t>Q11</t>
        </is>
      </c>
      <c r="B74" s="17" t="inlineStr">
        <is>
          <t>LiquidAssets</t>
        </is>
      </c>
      <c r="C74" s="11" t="inlineStr">
        <is>
          <t>What are your total cash and liquid assets?</t>
        </is>
      </c>
      <c r="D74" s="11" t="inlineStr">
        <is>
          <t>$1M - $5M</t>
        </is>
      </c>
      <c r="E74" s="10" t="inlineStr">
        <is>
          <t>hard block input</t>
        </is>
      </c>
      <c r="F74" s="19" t="n"/>
    </row>
  </sheetData>
  <mergeCells count="1"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30" customWidth="1" min="4" max="4"/>
    <col width="40" customWidth="1" min="5" max="5"/>
  </cols>
  <sheetData>
    <row r="1">
      <c r="A1" s="7" t="inlineStr">
        <is>
          <t>Legacy client-side suitability test (pre-2022) - reference only</t>
        </is>
      </c>
    </row>
    <row r="2">
      <c r="A2" s="8" t="inlineStr">
        <is>
          <t>Superseded but still shipped behind the NewSuitability2022 A/B flag. Produced a binary block, not a risk score. Documented so it is not mistaken for current behaviour.</t>
        </is>
      </c>
    </row>
    <row r="4">
      <c r="A4" s="4" t="inlineStr">
        <is>
          <t>Sub-tests (true = failed)</t>
        </is>
      </c>
    </row>
    <row r="5" ht="30" customHeight="1">
      <c r="A5" s="20" t="inlineStr">
        <is>
          <t>Appropriateness</t>
        </is>
      </c>
      <c r="B5" s="11" t="inlineStr">
        <is>
          <t>Server status</t>
        </is>
      </c>
      <c r="C5" s="16" t="inlineStr">
        <is>
          <t>FAILED=1, SUCCESS=2, BORDER_LINE=3, DEFAULT=0</t>
        </is>
      </c>
      <c r="D5" s="19" t="n"/>
      <c r="E5" s="19" t="n"/>
    </row>
    <row r="6" ht="30" customHeight="1">
      <c r="A6" s="20" t="inlineStr">
        <is>
          <t>Objectives</t>
        </is>
      </c>
      <c r="B6" s="11" t="inlineStr">
        <is>
          <t>Client</t>
        </is>
      </c>
      <c r="C6" s="16" t="inlineStr">
        <is>
          <t>fail if: (CFD never traded AND holds &gt; several months) OR purpose in {future planning, saving for home} OR risk appetite in {5%/-3%, 10%/-6%}</t>
        </is>
      </c>
      <c r="D6" s="19" t="n"/>
      <c r="E6" s="19" t="n"/>
    </row>
    <row r="7" ht="30" customHeight="1">
      <c r="A7" s="20" t="inlineStr">
        <is>
          <t>Experience</t>
        </is>
      </c>
      <c r="B7" s="11" t="inlineStr">
        <is>
          <t>Client</t>
        </is>
      </c>
      <c r="C7" s="16" t="inlineStr">
        <is>
          <t>fail if ratio &gt; 0.1 AND appropriateness failed</t>
        </is>
      </c>
      <c r="D7" s="19" t="n"/>
      <c r="E7" s="19" t="n"/>
    </row>
    <row r="8" ht="30" customHeight="1">
      <c r="A8" s="20" t="inlineStr">
        <is>
          <t xml:space="preserve">  the ratio</t>
        </is>
      </c>
      <c r="B8" s="11" t="inlineStr">
        <is>
          <t>Client</t>
        </is>
      </c>
      <c r="C8" s="16" t="inlineStr">
        <is>
          <t>(deposits - withdrawals) / (income midpoint + liquid-assets midpoint); window is deposits since FTD if FTD &lt;= 365 days ago, otherwise the last 12 months</t>
        </is>
      </c>
      <c r="D8" s="19" t="n"/>
      <c r="E8" s="19" t="n"/>
    </row>
    <row r="9" ht="30" customHeight="1">
      <c r="A9" s="20" t="inlineStr">
        <is>
          <t>Low tier</t>
        </is>
      </c>
      <c r="B9" s="11" t="inlineStr">
        <is>
          <t>Client</t>
        </is>
      </c>
      <c r="C9" s="16" t="inlineStr">
        <is>
          <t>income band &lt;= $10K AND liquid assets band &lt;= $10K</t>
        </is>
      </c>
      <c r="D9" s="19" t="n"/>
      <c r="E9" s="19" t="n"/>
    </row>
    <row r="11">
      <c r="A11" s="4" t="inlineStr">
        <is>
          <t>Decision table</t>
        </is>
      </c>
    </row>
    <row r="12" ht="22" customHeight="1">
      <c r="A12" s="9" t="inlineStr">
        <is>
          <t>Key (appropriateness, objectives, experience, tier)</t>
        </is>
      </c>
      <c r="B12" s="9" t="inlineStr">
        <is>
          <t>suitabilityTestValue</t>
        </is>
      </c>
      <c r="C12" s="9" t="inlineStr">
        <is>
          <t>Next screen</t>
        </is>
      </c>
      <c r="D12" s="9" t="inlineStr">
        <is>
          <t>Copy blocked?</t>
        </is>
      </c>
      <c r="E12" s="9" t="inlineStr"/>
    </row>
    <row r="13">
      <c r="A13" s="17" t="inlineStr">
        <is>
          <t>p,p,p,l / p,p,p,h</t>
        </is>
      </c>
      <c r="B13" s="13" t="n">
        <v>1</v>
      </c>
      <c r="C13" s="11" t="inlineStr">
        <is>
          <t>none</t>
        </is>
      </c>
      <c r="D13" s="23" t="inlineStr">
        <is>
          <t>no</t>
        </is>
      </c>
      <c r="E13" s="19" t="n"/>
    </row>
    <row r="14">
      <c r="A14" s="17" t="inlineStr">
        <is>
          <t>f,p,p,l / f,p,p,h</t>
        </is>
      </c>
      <c r="B14" s="13" t="n">
        <v>1</v>
      </c>
      <c r="C14" s="11" t="inlineStr">
        <is>
          <t>Risk Disclosure</t>
        </is>
      </c>
      <c r="D14" s="23" t="inlineStr">
        <is>
          <t>no</t>
        </is>
      </c>
      <c r="E14" s="19" t="n"/>
    </row>
    <row r="15">
      <c r="A15" s="17" t="inlineStr">
        <is>
          <t>f,p,f,h</t>
        </is>
      </c>
      <c r="B15" s="13" t="n">
        <v>2</v>
      </c>
      <c r="C15" s="11" t="inlineStr">
        <is>
          <t>Suitability Assessment - Experience (high)</t>
        </is>
      </c>
      <c r="D15" s="23" t="inlineStr">
        <is>
          <t>no</t>
        </is>
      </c>
      <c r="E15" s="19" t="n"/>
    </row>
    <row r="16">
      <c r="A16" s="17" t="inlineStr">
        <is>
          <t>f,f,p,h</t>
        </is>
      </c>
      <c r="B16" s="13" t="n">
        <v>3</v>
      </c>
      <c r="C16" s="11" t="inlineStr">
        <is>
          <t>Suitability Assessment - Experience (high)</t>
        </is>
      </c>
      <c r="D16" s="23" t="inlineStr">
        <is>
          <t>no</t>
        </is>
      </c>
      <c r="E16" s="19" t="n"/>
    </row>
    <row r="17">
      <c r="A17" s="17" t="inlineStr">
        <is>
          <t>f,f,f,h</t>
        </is>
      </c>
      <c r="B17" s="13" t="n">
        <v>2</v>
      </c>
      <c r="C17" s="11" t="inlineStr">
        <is>
          <t>Suitability Assessment - Experience (high)</t>
        </is>
      </c>
      <c r="D17" s="23" t="inlineStr">
        <is>
          <t>no</t>
        </is>
      </c>
      <c r="E17" s="19" t="n"/>
    </row>
    <row r="18">
      <c r="A18" s="17" t="inlineStr">
        <is>
          <t>f,p,f,l</t>
        </is>
      </c>
      <c r="B18" s="13" t="n">
        <v>2</v>
      </c>
      <c r="C18" s="11" t="inlineStr">
        <is>
          <t>Suitability Assessment - Experience (low)</t>
        </is>
      </c>
      <c r="D18" s="39" t="inlineStr">
        <is>
          <t>YES</t>
        </is>
      </c>
      <c r="E18" s="19" t="n"/>
    </row>
    <row r="19">
      <c r="A19" s="17" t="inlineStr">
        <is>
          <t>f,f,p,l</t>
        </is>
      </c>
      <c r="B19" s="13" t="n">
        <v>3</v>
      </c>
      <c r="C19" s="11" t="inlineStr">
        <is>
          <t>Suitability Assessment - Experience (low)</t>
        </is>
      </c>
      <c r="D19" s="39" t="inlineStr">
        <is>
          <t>YES</t>
        </is>
      </c>
      <c r="E19" s="19" t="n"/>
    </row>
    <row r="20">
      <c r="A20" s="17" t="inlineStr">
        <is>
          <t>f,f,f,l</t>
        </is>
      </c>
      <c r="B20" s="13" t="n">
        <v>2</v>
      </c>
      <c r="C20" s="11" t="inlineStr">
        <is>
          <t>Suitability Assessment - Experience (low)</t>
        </is>
      </c>
      <c r="D20" s="39" t="inlineStr">
        <is>
          <t>YES</t>
        </is>
      </c>
      <c r="E20" s="19" t="n"/>
    </row>
    <row r="21">
      <c r="A21" s="17" t="inlineStr">
        <is>
          <t>p,f,p,h</t>
        </is>
      </c>
      <c r="B21" s="13" t="n">
        <v>3</v>
      </c>
      <c r="C21" s="11" t="inlineStr">
        <is>
          <t>Suitability Assessment - Objectives (high)</t>
        </is>
      </c>
      <c r="D21" s="23" t="inlineStr">
        <is>
          <t>no</t>
        </is>
      </c>
      <c r="E21" s="19" t="n"/>
    </row>
    <row r="22">
      <c r="A22" s="17" t="inlineStr">
        <is>
          <t>p,f,p,l</t>
        </is>
      </c>
      <c r="B22" s="13" t="n">
        <v>3</v>
      </c>
      <c r="C22" s="11" t="inlineStr">
        <is>
          <t>Suitability Assessment - Objectives (low)</t>
        </is>
      </c>
      <c r="D22" s="39" t="inlineStr">
        <is>
          <t>YES</t>
        </is>
      </c>
      <c r="E22" s="19" t="n"/>
    </row>
    <row r="24">
      <c r="A24" s="8" t="inlineStr">
        <is>
          <t>The legacy test only ever blocked LOW-TIER users. A high-tier user who failed everything saw a warning screen and kept copy access. Six of the sixteen key combinations have no entry.</t>
        </is>
      </c>
    </row>
  </sheetData>
  <mergeCells count="7">
    <mergeCell ref="C5:E5"/>
    <mergeCell ref="A2:E2"/>
    <mergeCell ref="A24:E24"/>
    <mergeCell ref="C8:E8"/>
    <mergeCell ref="C9:E9"/>
    <mergeCell ref="C7:E7"/>
    <mergeCell ref="C6:E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>
      <c r="A1" s="8" t="inlineStr">
        <is>
          <t>Dropdown sources. Referenced by data validation on the input sheets.</t>
        </is>
      </c>
    </row>
    <row r="2">
      <c r="A2" s="2" t="inlineStr">
        <is>
          <t>Equities</t>
        </is>
      </c>
      <c r="B2" s="2" t="inlineStr">
        <is>
          <t>Crypto</t>
        </is>
      </c>
      <c r="C2" s="2" t="inlineStr">
        <is>
          <t>LeveragedCfd</t>
        </is>
      </c>
      <c r="D2" s="2" t="inlineStr">
        <is>
          <t>EquitiesInvestedAmount</t>
        </is>
      </c>
      <c r="E2" s="2" t="inlineStr">
        <is>
          <t>CryptoInvestedAmount</t>
        </is>
      </c>
      <c r="F2" s="2" t="inlineStr">
        <is>
          <t>LeveragedCfdInvestedAmount</t>
        </is>
      </c>
      <c r="G2" s="2" t="inlineStr">
        <is>
          <t>TradingKnowledge</t>
        </is>
      </c>
      <c r="H2" s="2" t="inlineStr">
        <is>
          <t>TradingStrategy</t>
        </is>
      </c>
      <c r="I2" s="2" t="inlineStr">
        <is>
          <t>TradingPurpose</t>
        </is>
      </c>
      <c r="J2" s="2" t="inlineStr">
        <is>
          <t>RiskAppetite</t>
        </is>
      </c>
      <c r="K2" s="2" t="inlineStr">
        <is>
          <t>IncomeSource</t>
        </is>
      </c>
      <c r="L2" s="2" t="inlineStr">
        <is>
          <t>AnnualIncome</t>
        </is>
      </c>
      <c r="M2" s="2" t="inlineStr">
        <is>
          <t>LiquidAssets</t>
        </is>
      </c>
      <c r="N2" s="2" t="inlineStr">
        <is>
          <t>YesNo</t>
        </is>
      </c>
      <c r="O2" s="2" t="inlineStr">
        <is>
          <t>PlannedInvestment</t>
        </is>
      </c>
      <c r="P2" s="2" t="inlineStr">
        <is>
          <t>MiCACryptoAssessmentHighVolatility</t>
        </is>
      </c>
      <c r="Q2" s="2" t="inlineStr">
        <is>
          <t>MiCACryptoAssessmentCyberRisks</t>
        </is>
      </c>
      <c r="R2" s="2" t="inlineStr">
        <is>
          <t>MiCACryptoAssessmentRecoverLoss</t>
        </is>
      </c>
      <c r="S2" s="2" t="inlineStr">
        <is>
          <t>MiCACryptoAssessmentInvestingRisks</t>
        </is>
      </c>
      <c r="T2" s="2" t="inlineStr">
        <is>
          <t>MiCACryptoAssessmentPrivateKey</t>
        </is>
      </c>
    </row>
    <row r="3">
      <c r="A3" s="40" t="inlineStr">
        <is>
          <t>Never traded</t>
        </is>
      </c>
      <c r="B3" s="40" t="inlineStr">
        <is>
          <t>Never traded</t>
        </is>
      </c>
      <c r="C3" s="40" t="inlineStr">
        <is>
          <t>Never traded</t>
        </is>
      </c>
      <c r="D3" s="40" t="inlineStr">
        <is>
          <t>Never</t>
        </is>
      </c>
      <c r="E3" s="40" t="inlineStr">
        <is>
          <t>Never</t>
        </is>
      </c>
      <c r="F3" s="40" t="inlineStr">
        <is>
          <t>Never</t>
        </is>
      </c>
      <c r="G3" s="40" t="inlineStr">
        <is>
          <t>Professional certificate / work experience</t>
        </is>
      </c>
      <c r="H3" s="40" t="inlineStr">
        <is>
          <t>A few seconds up to 24 hours</t>
        </is>
      </c>
      <c r="I3" s="40" t="inlineStr">
        <is>
          <t>Short-term returns</t>
        </is>
      </c>
      <c r="J3" s="40" t="inlineStr">
        <is>
          <t>5% / -3%</t>
        </is>
      </c>
      <c r="K3" s="40" t="inlineStr">
        <is>
          <t>Salary</t>
        </is>
      </c>
      <c r="L3" s="40" t="inlineStr">
        <is>
          <t>Up to $10K</t>
        </is>
      </c>
      <c r="M3" s="40" t="inlineStr">
        <is>
          <t>Up to $10K</t>
        </is>
      </c>
      <c r="N3" t="inlineStr">
        <is>
          <t>Yes</t>
        </is>
      </c>
      <c r="O3" s="40" t="inlineStr">
        <is>
          <t>Up to $20K</t>
        </is>
      </c>
      <c r="P3" s="40" t="inlineStr">
        <is>
          <t>It can lead to significant gains or losses</t>
        </is>
      </c>
      <c r="Q3" s="40" t="inlineStr">
        <is>
          <t>Enabling two-factor authentication</t>
        </is>
      </c>
      <c r="R3" s="40" t="inlineStr">
        <is>
          <t>Does not cover the loss</t>
        </is>
      </c>
      <c r="S3" s="40" t="inlineStr">
        <is>
          <t>You risk losing your whole investment</t>
        </is>
      </c>
      <c r="T3" s="40" t="inlineStr">
        <is>
          <t>A secret code</t>
        </is>
      </c>
    </row>
    <row r="4">
      <c r="A4" s="40" t="inlineStr">
        <is>
          <t>0-10 times</t>
        </is>
      </c>
      <c r="B4" s="40" t="inlineStr">
        <is>
          <t>0-10 times</t>
        </is>
      </c>
      <c r="C4" s="40" t="inlineStr">
        <is>
          <t>0-10 times</t>
        </is>
      </c>
      <c r="D4" s="40" t="inlineStr">
        <is>
          <t>$1 - $500</t>
        </is>
      </c>
      <c r="E4" s="40" t="inlineStr">
        <is>
          <t>$1 - $500</t>
        </is>
      </c>
      <c r="F4" s="40" t="inlineStr">
        <is>
          <t>$1 - $500</t>
        </is>
      </c>
      <c r="G4" s="40" t="inlineStr">
        <is>
          <t>University degree in finance</t>
        </is>
      </c>
      <c r="H4" s="40" t="inlineStr">
        <is>
          <t>A few weeks up to several months</t>
        </is>
      </c>
      <c r="I4" s="40" t="inlineStr">
        <is>
          <t>Additional revenues</t>
        </is>
      </c>
      <c r="J4" s="40" t="inlineStr">
        <is>
          <t>10% / -6%</t>
        </is>
      </c>
      <c r="K4" s="40" t="inlineStr">
        <is>
          <t>Employment</t>
        </is>
      </c>
      <c r="L4" s="40" t="inlineStr">
        <is>
          <t>$10K - $50K</t>
        </is>
      </c>
      <c r="M4" s="40" t="inlineStr">
        <is>
          <t>$10K - $50K</t>
        </is>
      </c>
      <c r="N4" t="inlineStr">
        <is>
          <t>No</t>
        </is>
      </c>
      <c r="O4" s="40" t="inlineStr">
        <is>
          <t>$20K - $50K</t>
        </is>
      </c>
      <c r="P4" s="40" t="inlineStr">
        <is>
          <t>Crypto makes a stable investment</t>
        </is>
      </c>
      <c r="Q4" s="40" t="inlineStr">
        <is>
          <t>Using the same password everywhere</t>
        </is>
      </c>
      <c r="R4" s="40" t="inlineStr">
        <is>
          <t>Covers the recovery</t>
        </is>
      </c>
      <c r="S4" s="40" t="inlineStr">
        <is>
          <t>Minimal</t>
        </is>
      </c>
      <c r="T4" s="40" t="inlineStr">
        <is>
          <t>A shared password</t>
        </is>
      </c>
    </row>
    <row r="5">
      <c r="A5" s="40" t="inlineStr">
        <is>
          <t>10-20 times</t>
        </is>
      </c>
      <c r="B5" s="40" t="inlineStr">
        <is>
          <t>10-20 times</t>
        </is>
      </c>
      <c r="C5" s="40" t="inlineStr">
        <is>
          <t>10-20 times</t>
        </is>
      </c>
      <c r="D5" s="40" t="inlineStr">
        <is>
          <t>$500 - $2,000</t>
        </is>
      </c>
      <c r="E5" s="40" t="inlineStr">
        <is>
          <t>$500 - $2,000</t>
        </is>
      </c>
      <c r="F5" s="40" t="inlineStr">
        <is>
          <t>$500 - $2,000</t>
        </is>
      </c>
      <c r="G5" s="40" t="inlineStr">
        <is>
          <t>Trading courses</t>
        </is>
      </c>
      <c r="H5" s="40" t="inlineStr">
        <is>
          <t>More than several months / years</t>
        </is>
      </c>
      <c r="I5" s="40" t="inlineStr">
        <is>
          <t>Future planning</t>
        </is>
      </c>
      <c r="J5" s="40" t="inlineStr">
        <is>
          <t>20% / -12%</t>
        </is>
      </c>
      <c r="K5" s="40" t="inlineStr">
        <is>
          <t>Investments</t>
        </is>
      </c>
      <c r="L5" s="40" t="inlineStr">
        <is>
          <t>$50K - $200K</t>
        </is>
      </c>
      <c r="M5" s="40" t="inlineStr">
        <is>
          <t>$50K - $200K</t>
        </is>
      </c>
      <c r="O5" s="40" t="inlineStr">
        <is>
          <t>$50K - $200K</t>
        </is>
      </c>
      <c r="P5" s="40" t="inlineStr">
        <is>
          <t>Crypto guarantees long-term profits</t>
        </is>
      </c>
      <c r="Q5" s="40" t="inlineStr">
        <is>
          <t>Sharing private keys with friends</t>
        </is>
      </c>
      <c r="R5" s="40" t="inlineStr">
        <is>
          <t>Lets you claim from consumer services</t>
        </is>
      </c>
      <c r="S5" s="40" t="inlineStr">
        <is>
          <t>Low</t>
        </is>
      </c>
      <c r="T5" s="40" t="inlineStr">
        <is>
          <t>A public identifier</t>
        </is>
      </c>
    </row>
    <row r="6">
      <c r="A6" s="40" t="inlineStr">
        <is>
          <t>Above 20 times</t>
        </is>
      </c>
      <c r="B6" s="40" t="inlineStr">
        <is>
          <t>Above 20 times</t>
        </is>
      </c>
      <c r="C6" s="40" t="inlineStr">
        <is>
          <t>Above 20 times</t>
        </is>
      </c>
      <c r="D6" s="40" t="inlineStr">
        <is>
          <t>Above $2,000</t>
        </is>
      </c>
      <c r="E6" s="40" t="inlineStr">
        <is>
          <t>Above $2,000</t>
        </is>
      </c>
      <c r="F6" s="40" t="inlineStr">
        <is>
          <t>Above $2,000</t>
        </is>
      </c>
      <c r="G6" s="40" t="inlineStr">
        <is>
          <t>No financial knowledge</t>
        </is>
      </c>
      <c r="I6" s="40" t="inlineStr">
        <is>
          <t>Saving for a home</t>
        </is>
      </c>
      <c r="J6" s="40" t="inlineStr">
        <is>
          <t>40% / -24%</t>
        </is>
      </c>
      <c r="K6" s="40" t="inlineStr">
        <is>
          <t>Savings</t>
        </is>
      </c>
      <c r="L6" s="40" t="inlineStr">
        <is>
          <t>$200K - $500K</t>
        </is>
      </c>
      <c r="M6" s="40" t="inlineStr">
        <is>
          <t>$200K - $500K</t>
        </is>
      </c>
      <c r="O6" s="40" t="inlineStr">
        <is>
          <t>$200K - $500K</t>
        </is>
      </c>
    </row>
    <row r="7">
      <c r="C7" s="40" t="inlineStr">
        <is>
          <t>10-40 times</t>
        </is>
      </c>
      <c r="I7" s="40" t="inlineStr">
        <is>
          <t>Converting crypto to fiat</t>
        </is>
      </c>
      <c r="J7" s="40" t="inlineStr">
        <is>
          <t>80% / -48%</t>
        </is>
      </c>
      <c r="K7" s="40" t="inlineStr">
        <is>
          <t>Business activities</t>
        </is>
      </c>
      <c r="L7" s="40" t="inlineStr">
        <is>
          <t>$500K - $1M</t>
        </is>
      </c>
      <c r="M7" s="40" t="inlineStr">
        <is>
          <t>$500K - $1M</t>
        </is>
      </c>
      <c r="O7" s="40" t="inlineStr">
        <is>
          <t>$500K - $1M</t>
        </is>
      </c>
    </row>
    <row r="8">
      <c r="C8" s="40" t="inlineStr">
        <is>
          <t>Above 40 times</t>
        </is>
      </c>
      <c r="I8" s="40" t="inlineStr">
        <is>
          <t>Trading</t>
        </is>
      </c>
      <c r="K8" s="40" t="inlineStr">
        <is>
          <t>Crypto-related gains</t>
        </is>
      </c>
      <c r="L8" s="40" t="inlineStr">
        <is>
          <t>$1M - $5M</t>
        </is>
      </c>
      <c r="M8" s="40" t="inlineStr">
        <is>
          <t>$1M - $5M</t>
        </is>
      </c>
      <c r="O8" s="40" t="inlineStr">
        <is>
          <t>Above $1M</t>
        </is>
      </c>
    </row>
    <row r="9">
      <c r="I9" s="40" t="inlineStr">
        <is>
          <t>Investments</t>
        </is>
      </c>
      <c r="K9" s="40" t="inlineStr">
        <is>
          <t>Inheritance</t>
        </is>
      </c>
    </row>
    <row r="10">
      <c r="I10" s="40" t="inlineStr">
        <is>
          <t>Crypto trading and/or conversion</t>
        </is>
      </c>
      <c r="K10" s="40" t="inlineStr">
        <is>
          <t>Family financial support</t>
        </is>
      </c>
    </row>
    <row r="11">
      <c r="K11" s="40" t="inlineStr">
        <is>
          <t>Other</t>
        </is>
      </c>
    </row>
    <row r="12">
      <c r="K12" s="40" t="inlineStr">
        <is>
          <t>Pension</t>
        </is>
      </c>
    </row>
    <row r="13">
      <c r="K13" s="40" t="inlineStr">
        <is>
          <t>Social security</t>
        </is>
      </c>
    </row>
    <row r="14">
      <c r="K14" s="40" t="inlineStr">
        <is>
          <t>Severance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2026-08-11T07:45:41Z</dcterms:created>
  <dcterms:modified xsi:type="dcterms:W3CDTF">2026-08-11T07:45:41Z</dcterms:modified>
</cp:coreProperties>
</file>